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lando\Downloads\"/>
    </mc:Choice>
  </mc:AlternateContent>
  <xr:revisionPtr revIDLastSave="0" documentId="13_ncr:1_{C5253E9F-5664-4390-90B3-F82AB3FDE2B8}" xr6:coauthVersionLast="47" xr6:coauthVersionMax="47" xr10:uidLastSave="{00000000-0000-0000-0000-000000000000}"/>
  <bookViews>
    <workbookView xWindow="-120" yWindow="-120" windowWidth="20730" windowHeight="11310" tabRatio="752" xr2:uid="{00000000-000D-0000-FFFF-FFFF00000000}"/>
  </bookViews>
  <sheets>
    <sheet name="RESUMEN_EJECUTIVO" sheetId="1" r:id="rId1"/>
    <sheet name="MANTENIMIENTO_NISSAN" sheetId="2" r:id="rId2"/>
    <sheet name="SUPUESTOS_PARAMETROS" sheetId="3" r:id="rId3"/>
    <sheet name="COSTOS_OPERACION_COV" sheetId="4" r:id="rId4"/>
    <sheet name="TARIFAS_CATEGORIA" sheetId="5" r:id="rId5"/>
    <sheet name="ECONOMIA_PROPIETARIO" sheetId="6" r:id="rId6"/>
    <sheet name="RENTABILIDAD_32_RUTAS" sheetId="7" r:id="rId7"/>
    <sheet name="REGLA_ACTUALIZACION" sheetId="8" r:id="rId8"/>
    <sheet name="ESCENARIOS_NEGOCIACION" sheetId="9" r:id="rId9"/>
    <sheet name="FUENTES_AUDITORIA_CONTROL" sheetId="10" r:id="rId10"/>
    <sheet name="METODOLOGIA_GLOSARIO"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9" i="1" l="1"/>
  <c r="I18" i="1"/>
  <c r="E8" i="9"/>
  <c r="E7" i="9"/>
  <c r="E6" i="9"/>
  <c r="E5" i="9"/>
  <c r="B16" i="8"/>
  <c r="F10" i="8"/>
  <c r="F9" i="8"/>
  <c r="F8" i="8"/>
  <c r="F7" i="8"/>
  <c r="F6" i="8"/>
  <c r="F39" i="7"/>
  <c r="E39" i="7"/>
  <c r="G25" i="7"/>
  <c r="G12" i="7"/>
  <c r="G8" i="7"/>
  <c r="E5" i="6"/>
  <c r="F11" i="5"/>
  <c r="D5" i="6" s="1"/>
  <c r="D11" i="5"/>
  <c r="B11" i="5"/>
  <c r="B20" i="1" s="1"/>
  <c r="G30" i="4"/>
  <c r="D27" i="4"/>
  <c r="E27" i="4" s="1"/>
  <c r="D26" i="4"/>
  <c r="E26" i="4" s="1"/>
  <c r="E20" i="4"/>
  <c r="E19" i="4"/>
  <c r="D19" i="4"/>
  <c r="E17" i="4"/>
  <c r="D16" i="4"/>
  <c r="E16" i="4" s="1"/>
  <c r="D15" i="4"/>
  <c r="E15" i="4" s="1"/>
  <c r="D14" i="4"/>
  <c r="E14" i="4" s="1"/>
  <c r="D12" i="4"/>
  <c r="E12" i="4" s="1"/>
  <c r="D13" i="4" s="1"/>
  <c r="E13" i="4" s="1"/>
  <c r="B15" i="3"/>
  <c r="B4" i="7" s="1"/>
  <c r="B14" i="3"/>
  <c r="B13" i="3"/>
  <c r="C5" i="5" s="1"/>
  <c r="B12" i="3"/>
  <c r="B11" i="3"/>
  <c r="H53" i="2"/>
  <c r="J53" i="2" s="1"/>
  <c r="H52" i="2"/>
  <c r="J52" i="2" s="1"/>
  <c r="H51" i="2"/>
  <c r="J51" i="2" s="1"/>
  <c r="H50" i="2"/>
  <c r="J50" i="2" s="1"/>
  <c r="H49" i="2"/>
  <c r="J49" i="2" s="1"/>
  <c r="H48" i="2"/>
  <c r="J48" i="2" s="1"/>
  <c r="H47" i="2"/>
  <c r="J47" i="2" s="1"/>
  <c r="H46" i="2"/>
  <c r="J46" i="2" s="1"/>
  <c r="H45" i="2"/>
  <c r="J45" i="2" s="1"/>
  <c r="H44" i="2"/>
  <c r="J44" i="2" s="1"/>
  <c r="H43" i="2"/>
  <c r="J43" i="2" s="1"/>
  <c r="H42" i="2"/>
  <c r="J42" i="2" s="1"/>
  <c r="H41" i="2"/>
  <c r="J41" i="2" s="1"/>
  <c r="H40" i="2"/>
  <c r="J40" i="2" s="1"/>
  <c r="H39" i="2"/>
  <c r="J39" i="2" s="1"/>
  <c r="H38" i="2"/>
  <c r="J38" i="2" s="1"/>
  <c r="H37" i="2"/>
  <c r="J37" i="2" s="1"/>
  <c r="H36" i="2"/>
  <c r="J36" i="2" s="1"/>
  <c r="H35" i="2"/>
  <c r="J35" i="2" s="1"/>
  <c r="H34" i="2"/>
  <c r="J34" i="2" s="1"/>
  <c r="H33" i="2"/>
  <c r="J33" i="2" s="1"/>
  <c r="H32" i="2"/>
  <c r="J32" i="2" s="1"/>
  <c r="H31" i="2"/>
  <c r="J31" i="2" s="1"/>
  <c r="H30" i="2"/>
  <c r="J30" i="2" s="1"/>
  <c r="H29" i="2"/>
  <c r="J29" i="2" s="1"/>
  <c r="H28" i="2"/>
  <c r="J28" i="2" s="1"/>
  <c r="H27" i="2"/>
  <c r="J27" i="2" s="1"/>
  <c r="H26" i="2"/>
  <c r="J26" i="2" s="1"/>
  <c r="H25" i="2"/>
  <c r="J25" i="2" s="1"/>
  <c r="H24" i="2"/>
  <c r="J24" i="2" s="1"/>
  <c r="H23" i="2"/>
  <c r="J23" i="2" s="1"/>
  <c r="H22" i="2"/>
  <c r="J22" i="2" s="1"/>
  <c r="H21" i="2"/>
  <c r="J21" i="2" s="1"/>
  <c r="H20" i="2"/>
  <c r="J20" i="2" s="1"/>
  <c r="H19" i="2"/>
  <c r="J19" i="2" s="1"/>
  <c r="H18" i="2"/>
  <c r="J18" i="2" s="1"/>
  <c r="H17" i="2"/>
  <c r="J17" i="2" s="1"/>
  <c r="H16" i="2"/>
  <c r="J16" i="2" s="1"/>
  <c r="H15" i="2"/>
  <c r="J15" i="2" s="1"/>
  <c r="H14" i="2"/>
  <c r="J14" i="2" s="1"/>
  <c r="H13" i="2"/>
  <c r="J13" i="2" s="1"/>
  <c r="H12" i="2"/>
  <c r="J12" i="2" s="1"/>
  <c r="H11" i="2"/>
  <c r="J11" i="2" s="1"/>
  <c r="H10" i="2"/>
  <c r="J10" i="2" s="1"/>
  <c r="H9" i="2"/>
  <c r="J9" i="2" s="1"/>
  <c r="H8" i="2"/>
  <c r="J8" i="2" s="1"/>
  <c r="H7" i="2"/>
  <c r="J7" i="2" s="1"/>
  <c r="H6" i="2"/>
  <c r="J6" i="2" s="1"/>
  <c r="H5" i="2"/>
  <c r="J5" i="2" s="1"/>
  <c r="J54" i="2" s="1"/>
  <c r="J55" i="2" s="1"/>
  <c r="H26" i="1"/>
  <c r="H24" i="1"/>
  <c r="C20" i="1"/>
  <c r="E19" i="1"/>
  <c r="C19" i="1"/>
  <c r="B19" i="1"/>
  <c r="A19" i="1"/>
  <c r="E18" i="1"/>
  <c r="C18" i="1"/>
  <c r="B18" i="1"/>
  <c r="A18" i="1"/>
  <c r="E17" i="1"/>
  <c r="C17" i="1"/>
  <c r="B17" i="1"/>
  <c r="A17" i="1"/>
  <c r="E16" i="1"/>
  <c r="C16" i="1"/>
  <c r="B16" i="1"/>
  <c r="A16" i="1"/>
  <c r="E15" i="1"/>
  <c r="C15" i="1"/>
  <c r="B15" i="1"/>
  <c r="A15" i="1"/>
  <c r="E14" i="1"/>
  <c r="C14" i="1"/>
  <c r="B14" i="1"/>
  <c r="A14" i="1"/>
  <c r="E7" i="1"/>
  <c r="A7" i="1"/>
  <c r="E20" i="1" l="1"/>
  <c r="B30" i="3"/>
  <c r="K7" i="1"/>
  <c r="F13" i="4"/>
  <c r="H5" i="5"/>
  <c r="F15" i="4"/>
  <c r="D19" i="6"/>
  <c r="B19" i="6"/>
  <c r="E19" i="6"/>
  <c r="C19" i="6"/>
  <c r="C8" i="9"/>
  <c r="C6" i="9"/>
  <c r="C5" i="9"/>
  <c r="C7" i="9"/>
  <c r="B20" i="3"/>
  <c r="H29" i="1" s="1"/>
  <c r="C9" i="5"/>
  <c r="H9" i="5" s="1"/>
  <c r="C7" i="5"/>
  <c r="H7" i="5" s="1"/>
  <c r="C10" i="5"/>
  <c r="H10" i="5" s="1"/>
  <c r="C8" i="5"/>
  <c r="H8" i="5" s="1"/>
  <c r="C6" i="5"/>
  <c r="H6" i="5" s="1"/>
  <c r="B18" i="3"/>
  <c r="B19" i="3" s="1"/>
  <c r="B7" i="8"/>
  <c r="D11" i="6"/>
  <c r="D21" i="6" s="1"/>
  <c r="D29" i="1" s="1"/>
  <c r="E11" i="6"/>
  <c r="E21" i="6" s="1"/>
  <c r="H17" i="1"/>
  <c r="C11" i="6"/>
  <c r="C21" i="6" s="1"/>
  <c r="C29" i="1" s="1"/>
  <c r="B11" i="6"/>
  <c r="B21" i="6" s="1"/>
  <c r="B29" i="1" s="1"/>
  <c r="N38" i="7"/>
  <c r="N34" i="7"/>
  <c r="N30" i="7"/>
  <c r="N26" i="7"/>
  <c r="N22" i="7"/>
  <c r="N18" i="7"/>
  <c r="N35" i="7"/>
  <c r="N31" i="7"/>
  <c r="N27" i="7"/>
  <c r="N23" i="7"/>
  <c r="N19" i="7"/>
  <c r="N33" i="7"/>
  <c r="N25" i="7"/>
  <c r="N17" i="7"/>
  <c r="N16" i="7"/>
  <c r="N15" i="7"/>
  <c r="N12" i="7"/>
  <c r="N8" i="7"/>
  <c r="D17" i="6"/>
  <c r="D26" i="1" s="1"/>
  <c r="N32" i="7"/>
  <c r="N24" i="7"/>
  <c r="N13" i="7"/>
  <c r="N9" i="7"/>
  <c r="N37" i="7"/>
  <c r="N29" i="7"/>
  <c r="N21" i="7"/>
  <c r="N14" i="7"/>
  <c r="N10" i="7"/>
  <c r="B17" i="6"/>
  <c r="B26" i="1" s="1"/>
  <c r="N11" i="7"/>
  <c r="E17" i="6"/>
  <c r="N28" i="7"/>
  <c r="N36" i="7"/>
  <c r="N7" i="7"/>
  <c r="N20" i="7"/>
  <c r="C17" i="6"/>
  <c r="C26" i="1" s="1"/>
  <c r="F14" i="4"/>
  <c r="E28" i="4"/>
  <c r="B7" i="9"/>
  <c r="B5" i="9"/>
  <c r="B8" i="9"/>
  <c r="B6" i="9"/>
  <c r="G35" i="7"/>
  <c r="G31" i="7"/>
  <c r="G27" i="7"/>
  <c r="G23" i="7"/>
  <c r="G19" i="7"/>
  <c r="G36" i="7"/>
  <c r="G32" i="7"/>
  <c r="G28" i="7"/>
  <c r="G24" i="7"/>
  <c r="G20" i="7"/>
  <c r="G38" i="7"/>
  <c r="G30" i="7"/>
  <c r="G22" i="7"/>
  <c r="G13" i="7"/>
  <c r="G9" i="7"/>
  <c r="G37" i="7"/>
  <c r="G29" i="7"/>
  <c r="G21" i="7"/>
  <c r="G17" i="7"/>
  <c r="G16" i="7"/>
  <c r="G14" i="7"/>
  <c r="G10" i="7"/>
  <c r="E4" i="7"/>
  <c r="H25" i="1" s="1"/>
  <c r="G34" i="7"/>
  <c r="G26" i="7"/>
  <c r="G18" i="7"/>
  <c r="G15" i="7"/>
  <c r="G11" i="7"/>
  <c r="G7" i="7"/>
  <c r="G9" i="9"/>
  <c r="G7" i="9"/>
  <c r="G5" i="9"/>
  <c r="G8" i="9"/>
  <c r="H9" i="9"/>
  <c r="D8" i="9"/>
  <c r="D6" i="9"/>
  <c r="D7" i="9"/>
  <c r="D5" i="9"/>
  <c r="H4" i="7"/>
  <c r="K4" i="7" s="1"/>
  <c r="B16" i="3"/>
  <c r="B17" i="3" s="1"/>
  <c r="D18" i="4"/>
  <c r="E18" i="4" s="1"/>
  <c r="B9" i="8" s="1"/>
  <c r="B5" i="6"/>
  <c r="G33" i="7"/>
  <c r="I11" i="7" l="1"/>
  <c r="D12" i="6"/>
  <c r="J7" i="5"/>
  <c r="I7" i="5"/>
  <c r="C27" i="1"/>
  <c r="D27" i="1"/>
  <c r="D6" i="6"/>
  <c r="C6" i="6"/>
  <c r="D6" i="4"/>
  <c r="E6" i="4" s="1"/>
  <c r="B6" i="6"/>
  <c r="E6" i="6"/>
  <c r="F20" i="4"/>
  <c r="I9" i="7"/>
  <c r="I38" i="7"/>
  <c r="B10" i="8"/>
  <c r="F28" i="4"/>
  <c r="H19" i="1"/>
  <c r="E12" i="6"/>
  <c r="N39" i="7"/>
  <c r="F12" i="4"/>
  <c r="J6" i="5"/>
  <c r="I6" i="5"/>
  <c r="J9" i="5"/>
  <c r="I9" i="5"/>
  <c r="F16" i="4"/>
  <c r="F17" i="4"/>
  <c r="C11" i="5"/>
  <c r="F18" i="4"/>
  <c r="I34" i="7"/>
  <c r="I23" i="7"/>
  <c r="D7" i="6"/>
  <c r="D8" i="6" s="1"/>
  <c r="E7" i="6"/>
  <c r="E8" i="6" s="1"/>
  <c r="C7" i="6"/>
  <c r="B7" i="6"/>
  <c r="B8" i="6"/>
  <c r="H36" i="7"/>
  <c r="H32" i="7"/>
  <c r="I32" i="7" s="1"/>
  <c r="H28" i="7"/>
  <c r="I28" i="7" s="1"/>
  <c r="H24" i="7"/>
  <c r="H20" i="7"/>
  <c r="H16" i="7"/>
  <c r="I16" i="7" s="1"/>
  <c r="H37" i="7"/>
  <c r="I37" i="7" s="1"/>
  <c r="H33" i="7"/>
  <c r="I33" i="7" s="1"/>
  <c r="H29" i="7"/>
  <c r="H25" i="7"/>
  <c r="I25" i="7" s="1"/>
  <c r="H21" i="7"/>
  <c r="I21" i="7" s="1"/>
  <c r="H35" i="7"/>
  <c r="I35" i="7" s="1"/>
  <c r="H27" i="7"/>
  <c r="I27" i="7" s="1"/>
  <c r="H19" i="7"/>
  <c r="H17" i="7"/>
  <c r="I17" i="7" s="1"/>
  <c r="H14" i="7"/>
  <c r="I14" i="7" s="1"/>
  <c r="H10" i="7"/>
  <c r="H34" i="7"/>
  <c r="H26" i="7"/>
  <c r="H18" i="7"/>
  <c r="I18" i="7" s="1"/>
  <c r="H15" i="7"/>
  <c r="I15" i="7" s="1"/>
  <c r="H11" i="7"/>
  <c r="H7" i="7"/>
  <c r="H31" i="7"/>
  <c r="I31" i="7" s="1"/>
  <c r="H23" i="7"/>
  <c r="H12" i="7"/>
  <c r="I12" i="7" s="1"/>
  <c r="H8" i="7"/>
  <c r="I8" i="7" s="1"/>
  <c r="H30" i="7"/>
  <c r="I30" i="7" s="1"/>
  <c r="H13" i="7"/>
  <c r="I13" i="7" s="1"/>
  <c r="H9" i="7"/>
  <c r="H38" i="7"/>
  <c r="H28" i="1"/>
  <c r="H27" i="1"/>
  <c r="H22" i="7"/>
  <c r="I10" i="7"/>
  <c r="I20" i="7"/>
  <c r="I36" i="7"/>
  <c r="B12" i="6"/>
  <c r="C12" i="6"/>
  <c r="F26" i="4"/>
  <c r="J8" i="5"/>
  <c r="I8" i="5"/>
  <c r="I7" i="7"/>
  <c r="I26" i="7"/>
  <c r="I29" i="7"/>
  <c r="I22" i="7"/>
  <c r="I24" i="7"/>
  <c r="I19" i="7"/>
  <c r="H18" i="1"/>
  <c r="J10" i="5"/>
  <c r="I10" i="5"/>
  <c r="F27" i="4"/>
  <c r="B27" i="1"/>
  <c r="F19" i="4"/>
  <c r="H11" i="5"/>
  <c r="J5" i="5"/>
  <c r="I5" i="5"/>
  <c r="D10" i="6"/>
  <c r="C10" i="6"/>
  <c r="D7" i="4"/>
  <c r="E7" i="4" s="1"/>
  <c r="E10" i="6"/>
  <c r="B10" i="6"/>
  <c r="D11" i="4"/>
  <c r="E11" i="4" s="1"/>
  <c r="J27" i="7" l="1"/>
  <c r="M27" i="7"/>
  <c r="J31" i="7"/>
  <c r="M31" i="7"/>
  <c r="J14" i="7"/>
  <c r="M14" i="7"/>
  <c r="M33" i="7"/>
  <c r="J33" i="7"/>
  <c r="M21" i="7"/>
  <c r="J21" i="7"/>
  <c r="M37" i="7"/>
  <c r="J37" i="7"/>
  <c r="M28" i="7"/>
  <c r="J28" i="7"/>
  <c r="J13" i="7"/>
  <c r="M13" i="7"/>
  <c r="M15" i="7"/>
  <c r="J15" i="7"/>
  <c r="J30" i="7"/>
  <c r="M30" i="7"/>
  <c r="J18" i="7"/>
  <c r="M18" i="7"/>
  <c r="J35" i="7"/>
  <c r="M35" i="7"/>
  <c r="M17" i="7"/>
  <c r="J17" i="7"/>
  <c r="M16" i="7"/>
  <c r="J16" i="7"/>
  <c r="M32" i="7"/>
  <c r="J32" i="7"/>
  <c r="E21" i="4"/>
  <c r="F11" i="4"/>
  <c r="H16" i="1"/>
  <c r="J26" i="7"/>
  <c r="M26" i="7"/>
  <c r="H8" i="9"/>
  <c r="H5" i="9"/>
  <c r="B24" i="1"/>
  <c r="J34" i="7"/>
  <c r="M34" i="7"/>
  <c r="J38" i="7"/>
  <c r="M38" i="7"/>
  <c r="I39" i="7"/>
  <c r="M7" i="7"/>
  <c r="J7" i="7"/>
  <c r="J10" i="7"/>
  <c r="M10" i="7"/>
  <c r="D24" i="1"/>
  <c r="M11" i="7"/>
  <c r="J11" i="7"/>
  <c r="J22" i="7"/>
  <c r="M22" i="7"/>
  <c r="M20" i="7"/>
  <c r="J20" i="7"/>
  <c r="J9" i="7"/>
  <c r="M9" i="7"/>
  <c r="I11" i="5"/>
  <c r="M29" i="7"/>
  <c r="J29" i="7"/>
  <c r="J12" i="7"/>
  <c r="M12" i="7"/>
  <c r="M25" i="7"/>
  <c r="J25" i="7"/>
  <c r="M24" i="7"/>
  <c r="J24" i="7"/>
  <c r="M36" i="7"/>
  <c r="J36" i="7"/>
  <c r="J8" i="7"/>
  <c r="M8" i="7"/>
  <c r="J23" i="7"/>
  <c r="M23" i="7"/>
  <c r="B8" i="8"/>
  <c r="F7" i="4"/>
  <c r="H15" i="1"/>
  <c r="I9" i="9"/>
  <c r="J11" i="5"/>
  <c r="J19" i="7"/>
  <c r="M19" i="7"/>
  <c r="H7" i="9"/>
  <c r="B6" i="8"/>
  <c r="D9" i="6"/>
  <c r="D13" i="6" s="1"/>
  <c r="D25" i="1" s="1"/>
  <c r="B9" i="6"/>
  <c r="B13" i="6" s="1"/>
  <c r="B25" i="1" s="1"/>
  <c r="F6" i="4"/>
  <c r="H14" i="1"/>
  <c r="C9" i="6"/>
  <c r="C13" i="6" s="1"/>
  <c r="C25" i="1" s="1"/>
  <c r="E9" i="6"/>
  <c r="E13" i="6" s="1"/>
  <c r="E14" i="6" s="1"/>
  <c r="E16" i="6" s="1"/>
  <c r="E18" i="6" s="1"/>
  <c r="E8" i="4"/>
  <c r="E22" i="6" l="1"/>
  <c r="J7" i="9" s="1"/>
  <c r="E20" i="6"/>
  <c r="L24" i="7"/>
  <c r="P24" i="7" s="1"/>
  <c r="K24" i="7"/>
  <c r="O24" i="7" s="1"/>
  <c r="Q24" i="7" s="1"/>
  <c r="K26" i="7"/>
  <c r="O26" i="7" s="1"/>
  <c r="Q26" i="7" s="1"/>
  <c r="L26" i="7"/>
  <c r="P26" i="7" s="1"/>
  <c r="L8" i="7"/>
  <c r="P8" i="7" s="1"/>
  <c r="K8" i="7"/>
  <c r="O8" i="7" s="1"/>
  <c r="Q8" i="7" s="1"/>
  <c r="L16" i="7"/>
  <c r="P16" i="7" s="1"/>
  <c r="K16" i="7"/>
  <c r="O16" i="7" s="1"/>
  <c r="Q16" i="7" s="1"/>
  <c r="L33" i="7"/>
  <c r="P33" i="7" s="1"/>
  <c r="K33" i="7"/>
  <c r="O33" i="7" s="1"/>
  <c r="Q33" i="7" s="1"/>
  <c r="K19" i="7"/>
  <c r="O19" i="7" s="1"/>
  <c r="Q19" i="7" s="1"/>
  <c r="L19" i="7"/>
  <c r="P19" i="7" s="1"/>
  <c r="L12" i="7"/>
  <c r="P12" i="7" s="1"/>
  <c r="K12" i="7"/>
  <c r="O12" i="7" s="1"/>
  <c r="Q12" i="7" s="1"/>
  <c r="J39" i="7"/>
  <c r="L7" i="7"/>
  <c r="K7" i="7"/>
  <c r="L38" i="7"/>
  <c r="P38" i="7" s="1"/>
  <c r="K38" i="7"/>
  <c r="O38" i="7" s="1"/>
  <c r="Q38" i="7" s="1"/>
  <c r="B14" i="6"/>
  <c r="B16" i="6" s="1"/>
  <c r="B18" i="6" s="1"/>
  <c r="K35" i="7"/>
  <c r="O35" i="7" s="1"/>
  <c r="Q35" i="7" s="1"/>
  <c r="L35" i="7"/>
  <c r="P35" i="7" s="1"/>
  <c r="L30" i="7"/>
  <c r="P30" i="7" s="1"/>
  <c r="K30" i="7"/>
  <c r="O30" i="7" s="1"/>
  <c r="Q30" i="7" s="1"/>
  <c r="K13" i="7"/>
  <c r="O13" i="7" s="1"/>
  <c r="Q13" i="7" s="1"/>
  <c r="L13" i="7"/>
  <c r="P13" i="7" s="1"/>
  <c r="K31" i="7"/>
  <c r="O31" i="7" s="1"/>
  <c r="Q31" i="7" s="1"/>
  <c r="L31" i="7"/>
  <c r="P31" i="7" s="1"/>
  <c r="F8" i="4"/>
  <c r="E23" i="4"/>
  <c r="K23" i="7"/>
  <c r="O23" i="7" s="1"/>
  <c r="Q23" i="7" s="1"/>
  <c r="L23" i="7"/>
  <c r="P23" i="7" s="1"/>
  <c r="L36" i="7"/>
  <c r="P36" i="7" s="1"/>
  <c r="K36" i="7"/>
  <c r="O36" i="7" s="1"/>
  <c r="Q36" i="7" s="1"/>
  <c r="L25" i="7"/>
  <c r="P25" i="7" s="1"/>
  <c r="K25" i="7"/>
  <c r="O25" i="7" s="1"/>
  <c r="Q25" i="7" s="1"/>
  <c r="L29" i="7"/>
  <c r="P29" i="7" s="1"/>
  <c r="K29" i="7"/>
  <c r="O29" i="7" s="1"/>
  <c r="Q29" i="7" s="1"/>
  <c r="K9" i="7"/>
  <c r="O9" i="7" s="1"/>
  <c r="Q9" i="7" s="1"/>
  <c r="L9" i="7"/>
  <c r="P9" i="7" s="1"/>
  <c r="L22" i="7"/>
  <c r="P22" i="7" s="1"/>
  <c r="K22" i="7"/>
  <c r="O22" i="7" s="1"/>
  <c r="Q22" i="7" s="1"/>
  <c r="D14" i="6"/>
  <c r="D16" i="6" s="1"/>
  <c r="D18" i="6" s="1"/>
  <c r="M39" i="7"/>
  <c r="L32" i="7"/>
  <c r="P32" i="7" s="1"/>
  <c r="K32" i="7"/>
  <c r="O32" i="7" s="1"/>
  <c r="Q32" i="7" s="1"/>
  <c r="L17" i="7"/>
  <c r="P17" i="7" s="1"/>
  <c r="K17" i="7"/>
  <c r="O17" i="7" s="1"/>
  <c r="Q17" i="7" s="1"/>
  <c r="K15" i="7"/>
  <c r="O15" i="7" s="1"/>
  <c r="Q15" i="7" s="1"/>
  <c r="L15" i="7"/>
  <c r="P15" i="7" s="1"/>
  <c r="L28" i="7"/>
  <c r="P28" i="7" s="1"/>
  <c r="K28" i="7"/>
  <c r="O28" i="7" s="1"/>
  <c r="Q28" i="7" s="1"/>
  <c r="L21" i="7"/>
  <c r="P21" i="7" s="1"/>
  <c r="K21" i="7"/>
  <c r="O21" i="7" s="1"/>
  <c r="Q21" i="7" s="1"/>
  <c r="L10" i="7"/>
  <c r="P10" i="7" s="1"/>
  <c r="K10" i="7"/>
  <c r="O10" i="7" s="1"/>
  <c r="Q10" i="7" s="1"/>
  <c r="F21" i="4"/>
  <c r="L37" i="7"/>
  <c r="P37" i="7" s="1"/>
  <c r="K37" i="7"/>
  <c r="O37" i="7" s="1"/>
  <c r="Q37" i="7" s="1"/>
  <c r="B11" i="8"/>
  <c r="L9" i="9"/>
  <c r="K9" i="9"/>
  <c r="J9" i="9"/>
  <c r="C8" i="8"/>
  <c r="G8" i="8" s="1"/>
  <c r="L20" i="7"/>
  <c r="P20" i="7" s="1"/>
  <c r="K20" i="7"/>
  <c r="O20" i="7" s="1"/>
  <c r="Q20" i="7" s="1"/>
  <c r="L11" i="7"/>
  <c r="P11" i="7" s="1"/>
  <c r="K11" i="7"/>
  <c r="O11" i="7" s="1"/>
  <c r="Q11" i="7" s="1"/>
  <c r="K34" i="7"/>
  <c r="O34" i="7" s="1"/>
  <c r="Q34" i="7" s="1"/>
  <c r="L34" i="7"/>
  <c r="P34" i="7" s="1"/>
  <c r="K18" i="7"/>
  <c r="O18" i="7" s="1"/>
  <c r="Q18" i="7" s="1"/>
  <c r="L18" i="7"/>
  <c r="P18" i="7" s="1"/>
  <c r="L14" i="7"/>
  <c r="P14" i="7" s="1"/>
  <c r="K14" i="7"/>
  <c r="O14" i="7" s="1"/>
  <c r="Q14" i="7" s="1"/>
  <c r="K27" i="7"/>
  <c r="O27" i="7" s="1"/>
  <c r="Q27" i="7" s="1"/>
  <c r="L27" i="7"/>
  <c r="P27" i="7" s="1"/>
  <c r="D22" i="6" l="1"/>
  <c r="D20" i="6"/>
  <c r="B22" i="6"/>
  <c r="B20" i="6"/>
  <c r="P7" i="7"/>
  <c r="P39" i="7" s="1"/>
  <c r="L39" i="7"/>
  <c r="C9" i="8"/>
  <c r="G9" i="8" s="1"/>
  <c r="C7" i="8"/>
  <c r="G7" i="8" s="1"/>
  <c r="C10" i="8"/>
  <c r="G10" i="8" s="1"/>
  <c r="E30" i="4"/>
  <c r="F23" i="4"/>
  <c r="K7" i="9"/>
  <c r="E23" i="6"/>
  <c r="K39" i="7"/>
  <c r="O7" i="7"/>
  <c r="C6" i="8"/>
  <c r="O39" i="7" l="1"/>
  <c r="Q7" i="7"/>
  <c r="Q39" i="7" s="1"/>
  <c r="K5" i="9"/>
  <c r="B28" i="1"/>
  <c r="B23" i="6"/>
  <c r="D28" i="1"/>
  <c r="D23" i="6"/>
  <c r="J5" i="9"/>
  <c r="J8" i="9"/>
  <c r="B30" i="1"/>
  <c r="I8" i="9"/>
  <c r="I6" i="9"/>
  <c r="I7" i="9"/>
  <c r="L7" i="9" s="1"/>
  <c r="I5" i="9"/>
  <c r="D24" i="6"/>
  <c r="B24" i="6"/>
  <c r="F32" i="4"/>
  <c r="H20" i="1"/>
  <c r="E32" i="4"/>
  <c r="E24" i="6"/>
  <c r="F30" i="4"/>
  <c r="C11" i="8"/>
  <c r="G6" i="8"/>
  <c r="G11" i="8" s="1"/>
  <c r="I7" i="1"/>
  <c r="D30" i="1"/>
  <c r="B15" i="8" l="1"/>
  <c r="B17" i="8" s="1"/>
  <c r="B14" i="8"/>
  <c r="E25" i="6"/>
  <c r="E26" i="6"/>
  <c r="B26" i="6"/>
  <c r="B25" i="6"/>
  <c r="G20" i="4"/>
  <c r="G14" i="4"/>
  <c r="G16" i="4"/>
  <c r="G13" i="4"/>
  <c r="G15" i="4"/>
  <c r="G17" i="4"/>
  <c r="G27" i="4"/>
  <c r="G19" i="4"/>
  <c r="G12" i="4"/>
  <c r="G26" i="4"/>
  <c r="G28" i="4"/>
  <c r="G18" i="4"/>
  <c r="G11" i="4"/>
  <c r="G6" i="4"/>
  <c r="G7" i="4"/>
  <c r="G21" i="4"/>
  <c r="G8" i="4"/>
  <c r="G23" i="4"/>
  <c r="D26" i="6"/>
  <c r="D25" i="6"/>
  <c r="L8" i="9"/>
  <c r="K8" i="9"/>
  <c r="I17" i="1"/>
  <c r="I16" i="1"/>
  <c r="I14" i="1"/>
  <c r="I15" i="1"/>
  <c r="L6" i="9"/>
  <c r="B18" i="8"/>
  <c r="B19" i="8" s="1"/>
  <c r="E11" i="5"/>
  <c r="L5" i="9"/>
  <c r="E10" i="5"/>
  <c r="E8" i="5"/>
  <c r="E6" i="5"/>
  <c r="E9" i="5"/>
  <c r="E5" i="5"/>
  <c r="E7" i="5"/>
  <c r="G6" i="9" l="1"/>
  <c r="C5" i="6"/>
  <c r="G11" i="5"/>
  <c r="D20" i="1"/>
  <c r="D16" i="1"/>
  <c r="G7" i="5"/>
  <c r="D17" i="1"/>
  <c r="G8" i="5"/>
  <c r="G5" i="5"/>
  <c r="C7" i="1"/>
  <c r="D14" i="1"/>
  <c r="D19" i="1"/>
  <c r="G10" i="5"/>
  <c r="D15" i="1"/>
  <c r="G6" i="5"/>
  <c r="G9" i="5"/>
  <c r="D18" i="1"/>
  <c r="C8" i="6" l="1"/>
  <c r="C24" i="6"/>
  <c r="C26" i="6" l="1"/>
  <c r="C25" i="6"/>
  <c r="H6" i="9"/>
  <c r="C14" i="6"/>
  <c r="C16" i="6" s="1"/>
  <c r="C18" i="6" s="1"/>
  <c r="C24" i="1"/>
  <c r="C22" i="6" l="1"/>
  <c r="C20" i="6"/>
  <c r="K6" i="9" l="1"/>
  <c r="C28" i="1"/>
  <c r="C23" i="6"/>
  <c r="G7" i="1"/>
  <c r="J6" i="9"/>
  <c r="C30" i="1"/>
</calcChain>
</file>

<file path=xl/sharedStrings.xml><?xml version="1.0" encoding="utf-8"?>
<sst xmlns="http://schemas.openxmlformats.org/spreadsheetml/2006/main" count="767" uniqueCount="563">
  <si>
    <t>GOBIERNO AUTÓNOMO MUNICIPAL DE SUCRE &amp; ECOTRAFFIC — MODELO TARIFARIO AUDITADO v3.2</t>
  </si>
  <si>
    <t>Bases Técnicas y Materiales de Negociación | Costos de Operación Vehicular, Economía del Hogar y Tarifas Sociales</t>
  </si>
  <si>
    <t>ESCENARIO: Base Observada (987 unidades)</t>
  </si>
  <si>
    <t>MODO: Producción Auditada (82.475 km/día - Factor: 1,0050)</t>
  </si>
  <si>
    <t>AUDITORÍA: Mantenimiento v2 y Rendimiento Diésel CERRADOS</t>
  </si>
  <si>
    <t>TARIFA ADULTO VIGENTE</t>
  </si>
  <si>
    <t>TARIFA ADULTO TÉCNICA</t>
  </si>
  <si>
    <t>TARIFA ADULTO SOCIAL</t>
  </si>
  <si>
    <t>INGRESO HOGAR (TÉCNICA)</t>
  </si>
  <si>
    <t>INGRESO HOGAR (SOCIAL)</t>
  </si>
  <si>
    <t>MANTENIMIENTO AUDITADO</t>
  </si>
  <si>
    <t>Ponderada: Bs. 3,50 / viaje</t>
  </si>
  <si>
    <t>Equilibrio financiero: Bs. 2,69</t>
  </si>
  <si>
    <t>Salario + Retorno capital</t>
  </si>
  <si>
    <t>Salario + Caja libre mensual</t>
  </si>
  <si>
    <t>Planilla v2 rebajada por unidad</t>
  </si>
  <si>
    <t>DIAGNÓSTICO TÉCNICO PARA LA MESA: Con el mantenimiento auditado v2 (Bs. 2.869,75/mes), el Costo Regulatorio baja a Bs. 18.790,59/mes. La Tarifa Técnica de Adulto desciende a Bs. 3,45. La tarifa vigente de Bs. 4,50 genera una sobreganancia de Bs. 5.729,47/mes por microbús. La propuesta social de Bs. 3,80 cubre el 100% de costos y deja un ingreso mensual familiar de Bs. 7.408,02.</t>
  </si>
  <si>
    <t>TARIFAS POR CATEGORÍA SOCIAL — NEGOCIACIÓN</t>
  </si>
  <si>
    <t>HOJA DE COSTOS POR UNIDAD / MES (COV AUDITADO)</t>
  </si>
  <si>
    <t>Categoría Social</t>
  </si>
  <si>
    <t>% Demanda</t>
  </si>
  <si>
    <t>Vigente (Bs)</t>
  </si>
  <si>
    <t>Técnica Equiv. (Bs)</t>
  </si>
  <si>
    <t>Social Propuesta (Bs)</t>
  </si>
  <si>
    <t>Componente del Costo</t>
  </si>
  <si>
    <t>Bs / Mes</t>
  </si>
  <si>
    <t>% OPEX</t>
  </si>
  <si>
    <t>Tratamiento Técnico</t>
  </si>
  <si>
    <t>Estado Auditoría</t>
  </si>
  <si>
    <t>Combustible (Diésel)</t>
  </si>
  <si>
    <t>Variable por km recorrido</t>
  </si>
  <si>
    <t>CERRADO</t>
  </si>
  <si>
    <t>Mantenimiento variable por km</t>
  </si>
  <si>
    <t>Mantenimiento fijo en el tiempo</t>
  </si>
  <si>
    <t>Fijo mensual por microbús</t>
  </si>
  <si>
    <t>Personal (Conductor + Aguinaldo)</t>
  </si>
  <si>
    <t>Otros Costos Fijos Administrativos</t>
  </si>
  <si>
    <t>Costos de Capital (Depreciación + WACC)</t>
  </si>
  <si>
    <t>Costo de capital regulatorio</t>
  </si>
  <si>
    <t>PROMEDIO PONDERADO:</t>
  </si>
  <si>
    <t>COSTO REGULATORIO TOTAL:</t>
  </si>
  <si>
    <t>100.0%</t>
  </si>
  <si>
    <t>Costo integral de red</t>
  </si>
  <si>
    <t>AUDITADO</t>
  </si>
  <si>
    <t>ECONOMÍA MENSUAL DEL PROPIETARIO — UNIDAD / MES</t>
  </si>
  <si>
    <t>OPERACIÓN, PRODUCTIVIDAD Y CONCILIACIÓN DE RED</t>
  </si>
  <si>
    <t>Concepto Financiero</t>
  </si>
  <si>
    <t>Tarifa Vigente (Bs)</t>
  </si>
  <si>
    <t>Tarifa Técnica (Bs)</t>
  </si>
  <si>
    <t>Tarifa Social (Bs)</t>
  </si>
  <si>
    <t>Lectura Económica</t>
  </si>
  <si>
    <t>Indicador Operativo</t>
  </si>
  <si>
    <t>Valor Activo</t>
  </si>
  <si>
    <t>Unidad</t>
  </si>
  <si>
    <t>Semáforo</t>
  </si>
  <si>
    <t>Definición Metodológica</t>
  </si>
  <si>
    <t>Recaudación neta mensual</t>
  </si>
  <si>
    <t>Ingreso efectivo por pasajes</t>
  </si>
  <si>
    <t>Vueltas medias por día</t>
  </si>
  <si>
    <t>vueltas/día</t>
  </si>
  <si>
    <t>Informativo</t>
  </si>
  <si>
    <t>Ciclos completos ida y vuelta declarados</t>
  </si>
  <si>
    <t>OPEX en efectivo</t>
  </si>
  <si>
    <t>Salidas inmediatas de operación</t>
  </si>
  <si>
    <t>km implícitos de las 32 rutas</t>
  </si>
  <si>
    <t>km/día</t>
  </si>
  <si>
    <t>Conciliación</t>
  </si>
  <si>
    <t>Distancia de ciclo x flota x vueltas</t>
  </si>
  <si>
    <t>Reserva para reposición (Deprec.)</t>
  </si>
  <si>
    <t>Ahorro para cambiar el vehículo</t>
  </si>
  <si>
    <t>km auditados de red (GPS)</t>
  </si>
  <si>
    <t>Auditado</t>
  </si>
  <si>
    <t>Producción física satelital independiente</t>
  </si>
  <si>
    <t>Retorno normal al capital (11%)</t>
  </si>
  <si>
    <t>Remuneración justa a la inversión</t>
  </si>
  <si>
    <t>Factor de Conciliación de red</t>
  </si>
  <si>
    <t>factor</t>
  </si>
  <si>
    <t>ÓPTIMO</t>
  </si>
  <si>
    <t>Auditado dividido entre implícito (1,0050)</t>
  </si>
  <si>
    <t>Utilidad económica excedente</t>
  </si>
  <si>
    <t>Sobreganancia sobre retorno normal</t>
  </si>
  <si>
    <t>Brecha de producción antes de ajuste</t>
  </si>
  <si>
    <t>% brecha</t>
  </si>
  <si>
    <t>Diferencia de oferta absorbida (0,50%)</t>
  </si>
  <si>
    <t>Remuneración por conducir (Chofer)</t>
  </si>
  <si>
    <t>Sueldo y aguinaldo por trabajo</t>
  </si>
  <si>
    <t>Índice de Pasajeros por Km (IPK)</t>
  </si>
  <si>
    <t>pax/km</t>
  </si>
  <si>
    <t>Demanda total dividida entre producción km</t>
  </si>
  <si>
    <t>INGRESO TOTAL DEL HOGAR</t>
  </si>
  <si>
    <t>Total de caja familiar mensual</t>
  </si>
  <si>
    <t>Rutas con déficit (Tarifa Vigente)</t>
  </si>
  <si>
    <t>rutas / 32</t>
  </si>
  <si>
    <t>Leve</t>
  </si>
  <si>
    <t>Sólo Línea 12 amarillo (tramo corto)</t>
  </si>
  <si>
    <t>Rutas con déficit (Tarifa Social)</t>
  </si>
  <si>
    <t>Negociar</t>
  </si>
  <si>
    <t>Demanda imputada con IPK promedio sistema</t>
  </si>
  <si>
    <t>GOBIERNO AUTÓNOMO MUNICIPAL DE SUCRE &amp; ECOTRAFFIC — PLANILLA TÉCNICA DE MANTENIMIENTO</t>
  </si>
  <si>
    <t>Costo de Mantenimiento y Repuestos Auditado (Versión Rebajada Oficial v2) | Microbús Nissan Civilian 1990–1998</t>
  </si>
  <si>
    <t>N°</t>
  </si>
  <si>
    <t>Sistemas del Vehículo / Componente</t>
  </si>
  <si>
    <t>Condición</t>
  </si>
  <si>
    <t>Costo Insumos (Bs)</t>
  </si>
  <si>
    <t>Cantidad</t>
  </si>
  <si>
    <t>Costo Mano de Obra (Bs)</t>
  </si>
  <si>
    <t>Costo Total (Bs)</t>
  </si>
  <si>
    <t>Periodicidad (Años)</t>
  </si>
  <si>
    <t>Costo Anual (Bs)</t>
  </si>
  <si>
    <t>Observaciones Técnicas</t>
  </si>
  <si>
    <t>Intervalo Fabricante (Km)</t>
  </si>
  <si>
    <t>Correas de motor</t>
  </si>
  <si>
    <t>C</t>
  </si>
  <si>
    <t>pzas</t>
  </si>
  <si>
    <t>Mediante verificacion visual y km recorrido o cada 3 años</t>
  </si>
  <si>
    <t>Aceite de motor 15w40</t>
  </si>
  <si>
    <t>L</t>
  </si>
  <si>
    <t>M.O. incluido</t>
  </si>
  <si>
    <t>Filtro de aceite</t>
  </si>
  <si>
    <t>Ventilador</t>
  </si>
  <si>
    <t>pza</t>
  </si>
  <si>
    <t>Mediante inspecciones tecnicas periodicas</t>
  </si>
  <si>
    <t>Anticongelante</t>
  </si>
  <si>
    <t>Termostato</t>
  </si>
  <si>
    <t>Filtro de combustible</t>
  </si>
  <si>
    <t>Filtro de aire</t>
  </si>
  <si>
    <t>Reparación Kit completo motor</t>
  </si>
  <si>
    <t>Kit</t>
  </si>
  <si>
    <t>Reparación general de bloque y componentes</t>
  </si>
  <si>
    <t>Afinado de motor</t>
  </si>
  <si>
    <t>MP</t>
  </si>
  <si>
    <t>Disco de embrague</t>
  </si>
  <si>
    <t>kit</t>
  </si>
  <si>
    <t>Rectificado Prensa</t>
  </si>
  <si>
    <t>Volante de inercia</t>
  </si>
  <si>
    <t>Rodamiento desplazador</t>
  </si>
  <si>
    <t>Cubetas de cilindros de embrague</t>
  </si>
  <si>
    <t>Aceite para transmisión</t>
  </si>
  <si>
    <t>Lt</t>
  </si>
  <si>
    <t>Aceite de corona</t>
  </si>
  <si>
    <t>Crucetas de cardan</t>
  </si>
  <si>
    <t>Corona</t>
  </si>
  <si>
    <t>Eje motriz (par cónico diferencial)</t>
  </si>
  <si>
    <t>Conjunto pasadores/rodamientos punta eje</t>
  </si>
  <si>
    <t>Juego</t>
  </si>
  <si>
    <t>Muñones de suspensión</t>
  </si>
  <si>
    <t>Amortiguadores delanteros</t>
  </si>
  <si>
    <t>Bujes de suspensión</t>
  </si>
  <si>
    <t>Muelles posteriores</t>
  </si>
  <si>
    <t>Perno Central de elásticos</t>
  </si>
  <si>
    <t>Amortiguadores posteriores</t>
  </si>
  <si>
    <t>Bujes de barra estabilizadora</t>
  </si>
  <si>
    <t>Bomba hidráulica de dirección</t>
  </si>
  <si>
    <t>Caja de Dirección y retenes</t>
  </si>
  <si>
    <t>R</t>
  </si>
  <si>
    <t>Muñones de dirección</t>
  </si>
  <si>
    <t>Líquido hidráulico</t>
  </si>
  <si>
    <t>Neumáticos, cámara y ponchillos (juego 6)</t>
  </si>
  <si>
    <t>Tambores traseros de freno</t>
  </si>
  <si>
    <t>Cilindro Maestro de freno</t>
  </si>
  <si>
    <t>Cubetas de cilindro maestro</t>
  </si>
  <si>
    <t>Cilindro auxiliar de freno</t>
  </si>
  <si>
    <t>Cubetas de cilindro auxiliar</t>
  </si>
  <si>
    <t>Líquido de frenos</t>
  </si>
  <si>
    <t>oz</t>
  </si>
  <si>
    <t>Balatas de freno</t>
  </si>
  <si>
    <t>Cable de freno de mano</t>
  </si>
  <si>
    <t>Batería (juego 2)</t>
  </si>
  <si>
    <t>Mantenimiento motor de arranque</t>
  </si>
  <si>
    <t>M</t>
  </si>
  <si>
    <t>Mantenimiento de alternador</t>
  </si>
  <si>
    <t>Focos de farol delantero (H4)</t>
  </si>
  <si>
    <t>Focos de luz de freno (P21W)</t>
  </si>
  <si>
    <t>Pintura &amp; arreglos menores carrocería</t>
  </si>
  <si>
    <t>S*</t>
  </si>
  <si>
    <t>Tapizado (asientos y piso)</t>
  </si>
  <si>
    <t>Engrasado general de chasis</t>
  </si>
  <si>
    <t>COSTO TOTAL ANUAL DE MANTENIMIENTO (Bs/año):</t>
  </si>
  <si>
    <t>COSTO TOTAL MENSUAL DE MANTENIMIENTO POR UNIDAD (Bs/mes):</t>
  </si>
  <si>
    <t>GOBIERNO AUTÓNOMO MUNICIPAL DE SUCRE &amp; ECOTRAFFIC — PARÁMETROS OPERATIVOS Y ECONÓMICOS</t>
  </si>
  <si>
    <t>Variables del Sistema, Productividad de Red y Costos Unitarios | Versión Auditada Oficial v3.2</t>
  </si>
  <si>
    <t>1. ESCENARIOS OPERATIVOS DE RED (REFERENCIA TÉCNICA)</t>
  </si>
  <si>
    <t>ID</t>
  </si>
  <si>
    <t>Escenario Operativo</t>
  </si>
  <si>
    <t>Flota Activa</t>
  </si>
  <si>
    <t>km Red / Día</t>
  </si>
  <si>
    <t>Pasajeros / Día</t>
  </si>
  <si>
    <t>Días / Mes</t>
  </si>
  <si>
    <t>Vueltas / Día</t>
  </si>
  <si>
    <t>Uso Metodológico</t>
  </si>
  <si>
    <t>Base observada del estudio (Oficial)</t>
  </si>
  <si>
    <t>Referencia primaria auditada para concertación</t>
  </si>
  <si>
    <t>Calibración 32 rutas previa</t>
  </si>
  <si>
    <t>Comparabilidad histórica con versión previa</t>
  </si>
  <si>
    <t>Eficiencia operacional optimizada</t>
  </si>
  <si>
    <t>Escenario de optimización y reorganización</t>
  </si>
  <si>
    <t>2. PARÁMETROS ACTIVOS Y PRODUCTIVIDAD DEL SISTEMA (ESCENARIO 1 AUDITADO)</t>
  </si>
  <si>
    <t>Flota activa en operación</t>
  </si>
  <si>
    <t>vehículos</t>
  </si>
  <si>
    <t>Padrón observado en servicio regular</t>
  </si>
  <si>
    <t>Producción de red auditada</t>
  </si>
  <si>
    <t>Medición satelital GPS de campo consolidada</t>
  </si>
  <si>
    <t>Demanda diaria del sistema</t>
  </si>
  <si>
    <t>pasajeros/día</t>
  </si>
  <si>
    <t>Aforo integral de subidas/bajadas expandido</t>
  </si>
  <si>
    <t>Días de operación comercial al mes</t>
  </si>
  <si>
    <t>días/mes</t>
  </si>
  <si>
    <t>Calendario de operación regular</t>
  </si>
  <si>
    <t>Vueltas medias por día por unidad</t>
  </si>
  <si>
    <t>Kilómetros recorridos por unidad/día</t>
  </si>
  <si>
    <t>km/unidad/día</t>
  </si>
  <si>
    <t>Producción de red dividida entre flota activa</t>
  </si>
  <si>
    <t>Kilómetros recorridos por unidad/mes</t>
  </si>
  <si>
    <t>km/unidad/mes</t>
  </si>
  <si>
    <t>Kilometraje mensual para estructura de costos</t>
  </si>
  <si>
    <t>Pasajeros transportados por unidad/día</t>
  </si>
  <si>
    <t>pax/unidad/día</t>
  </si>
  <si>
    <t>Demanda diaria dividida entre flota activa</t>
  </si>
  <si>
    <t>Pasajeros transportados por unidad/mes</t>
  </si>
  <si>
    <t>pax/unidad/mes</t>
  </si>
  <si>
    <t>Demanda mensual transportada por microbús</t>
  </si>
  <si>
    <t>Índice de Pasajeros por Kilómetro (IPK)</t>
  </si>
  <si>
    <t>Demanda total dividida entre producción de km</t>
  </si>
  <si>
    <t>3. PARÁMETROS ECONÓMICOS DE LA UNIDAD (MICROBÚS TIPO NISSAN CIVILIAN)</t>
  </si>
  <si>
    <t>Propietario conduce unidad</t>
  </si>
  <si>
    <t>0=No, 1=Sí</t>
  </si>
  <si>
    <t>Condición representativa del parque automotor</t>
  </si>
  <si>
    <t>Puestos de conductor remunerados</t>
  </si>
  <si>
    <t>conductores</t>
  </si>
  <si>
    <t>Régimen laboral estándar (1 turno de 3.300 Bs)</t>
  </si>
  <si>
    <t>Salario mensual conductor</t>
  </si>
  <si>
    <t>Bs/mes</t>
  </si>
  <si>
    <t>Convenio laboral / escala de remuneración</t>
  </si>
  <si>
    <t>Cargas sociales y provisiones</t>
  </si>
  <si>
    <t>% salario</t>
  </si>
  <si>
    <t>Provisión de aguinaldo navideño (1/12)</t>
  </si>
  <si>
    <t>Rendimiento diésel base</t>
  </si>
  <si>
    <t>km/litro</t>
  </si>
  <si>
    <t>Prueba de consumo en circuito urbano cerrado</t>
  </si>
  <si>
    <t>Factor de sobrecosto ralentí / congestión</t>
  </si>
  <si>
    <t>% adicional</t>
  </si>
  <si>
    <t>Pérdida por tráfico y paradas continuas (15%)</t>
  </si>
  <si>
    <t>Precio oficial de diésel</t>
  </si>
  <si>
    <t>Bs/litro</t>
  </si>
  <si>
    <t>Precio de mercado regulado vigente</t>
  </si>
  <si>
    <t>Mantenimiento total mensual auditado</t>
  </si>
  <si>
    <t>Planilla técnica v2 rebajada de repuestos y MO</t>
  </si>
  <si>
    <t>Proporción variable de mantenimiento</t>
  </si>
  <si>
    <t>% variable</t>
  </si>
  <si>
    <t>Asignado a consumo por kilómetro recorrido</t>
  </si>
  <si>
    <t>Proporción fija de mantenimiento</t>
  </si>
  <si>
    <t>% fijo</t>
  </si>
  <si>
    <t>Asignado a costos periódicos en el tiempo</t>
  </si>
  <si>
    <t>Valor de reposición del vehículo a nuevo</t>
  </si>
  <si>
    <t>Bs</t>
  </si>
  <si>
    <t>Cotización de microbús equivalente</t>
  </si>
  <si>
    <t>Valor residual al fin de vida útil</t>
  </si>
  <si>
    <t>Política regulatoria estándar (0%)</t>
  </si>
  <si>
    <t>Vida útil económica del microbús</t>
  </si>
  <si>
    <t>meses</t>
  </si>
  <si>
    <t>10 años de amortización regulatoria</t>
  </si>
  <si>
    <t>Tasa de retorno anual al capital invertido</t>
  </si>
  <si>
    <t>% anual</t>
  </si>
  <si>
    <t>WACC / Costo de oportunidad del capital (11%)</t>
  </si>
  <si>
    <t>Umbral de revisión tarifaria trimestral</t>
  </si>
  <si>
    <t>% variación</t>
  </si>
  <si>
    <t>Regla Laspeyres: gatillo de activación (5%)</t>
  </si>
  <si>
    <t>GOBIERNO AUTÓNOMO MUNICIPAL DE SUCRE &amp; ECOTRAFFIC — COSTOS DE OPERACIÓN VEHICULAR (COV)</t>
  </si>
  <si>
    <t>Estructura Desagregada de Costos Variables, Fijos y de Capital | Microbús Nissan Civilian Oficial v3.2</t>
  </si>
  <si>
    <t>A. COSTOS VARIABLES (DIRECTAMENTE DEPENDIENTES DEL KILOMETRAJE)</t>
  </si>
  <si>
    <t>Grupo</t>
  </si>
  <si>
    <t>Concepto de Costo</t>
  </si>
  <si>
    <t>Base de Cálculo</t>
  </si>
  <si>
    <t>Importe Base</t>
  </si>
  <si>
    <t>Costo Mensual (Bs)</t>
  </si>
  <si>
    <t>Costo / Km (Bs/km)</t>
  </si>
  <si>
    <t>% del Costo Total</t>
  </si>
  <si>
    <t>Combustible</t>
  </si>
  <si>
    <t>Diésel Oíl + sobrecosto congestión (15%)</t>
  </si>
  <si>
    <t>Rend. 5,50 km/l | 17,95 Bs/l</t>
  </si>
  <si>
    <t>Mantenimiento</t>
  </si>
  <si>
    <t>Mantenimiento dependiente de km (25,14%)</t>
  </si>
  <si>
    <t>Aceites, filtros, balatas, neumáticos</t>
  </si>
  <si>
    <t>SUBTOTAL COSTOS VARIABLES (A):</t>
  </si>
  <si>
    <t>B. COSTOS FIJOS EN EFECTIVO (INDEPENDIENTES DEL KILOMETRAJE)</t>
  </si>
  <si>
    <t>Mantenimiento periódico en el tiempo (74,86%)</t>
  </si>
  <si>
    <t>Reparaciones mecánicas y preventivas</t>
  </si>
  <si>
    <t>Personal</t>
  </si>
  <si>
    <t>Remuneración de conductor profesional</t>
  </si>
  <si>
    <t>1 chofer por unidad</t>
  </si>
  <si>
    <t>Cargas sociales y provisión de aguinaldo</t>
  </si>
  <si>
    <t>8,33% sobre salario</t>
  </si>
  <si>
    <t>Administrativo</t>
  </si>
  <si>
    <t>Seguro Obligatorio de Accidentes (SOAT)</t>
  </si>
  <si>
    <t>Bs. 445 / 12 meses</t>
  </si>
  <si>
    <t>Impuesto municipal a la propiedad vehicular</t>
  </si>
  <si>
    <t>Bs. 700 / 12 meses</t>
  </si>
  <si>
    <t>Inspección Técnica Vehicular (ITV)</t>
  </si>
  <si>
    <t>Bs. 30 / 12 meses</t>
  </si>
  <si>
    <t>Cuota sindical y gastos de administración</t>
  </si>
  <si>
    <t>Bs. 200 mensual por vehículo</t>
  </si>
  <si>
    <t>Permiso de parada y rodaje diario</t>
  </si>
  <si>
    <t>Bs. 10 / día x 26 días</t>
  </si>
  <si>
    <t>Tarjeta de operación municipal</t>
  </si>
  <si>
    <t>Bs. 150 / 12 meses</t>
  </si>
  <si>
    <t>Seguro</t>
  </si>
  <si>
    <t>Seguro de responsabilidad civil a terceros</t>
  </si>
  <si>
    <t>Póliza mensual comercial</t>
  </si>
  <si>
    <t>SUBTOTAL COSTOS FIJOS EN EFECTIVO (B):</t>
  </si>
  <si>
    <t>TOTAL COSTO OPERATIVO EN EFECTIVO - OPEX (A + B):</t>
  </si>
  <si>
    <t>C. COSTOS DE CAPITAL Y REGULATORIOS (AMORTIZACIÓN Y RETORNO DE INVERSIÓN)</t>
  </si>
  <si>
    <t>Capital</t>
  </si>
  <si>
    <t>Depreciación / Reserva reposición vehículo</t>
  </si>
  <si>
    <t>Vida útil 120 meses (10 años)</t>
  </si>
  <si>
    <t>Retorno permitido sobre capital invertido</t>
  </si>
  <si>
    <t>11% anual sobre activo regulatorio</t>
  </si>
  <si>
    <t>SUBTOTAL COSTOS DE CAPITAL (C):</t>
  </si>
  <si>
    <t>COSTO ECONÓMICO REGULATORIO TOTAL POR UNIDAD (A + B + C):</t>
  </si>
  <si>
    <t>Costo Regulatorio por Pasajero (Tarifa Técnica Ponderada):</t>
  </si>
  <si>
    <t>Bs/pasajero</t>
  </si>
  <si>
    <t>GOBIERNO AUTÓNOMO MUNICIPAL DE SUCRE &amp; ECOTRAFFIC — TARIFAS POR CATEGORÍA SOCIAL</t>
  </si>
  <si>
    <t>Distribución de Demanda, Tarifas Vigentes, Tarifas Técnicas Equivalentes y Propuesta Social de Negociación</t>
  </si>
  <si>
    <t>Viajes / Día</t>
  </si>
  <si>
    <t>Tarifa Técnica Equiv. (Bs)</t>
  </si>
  <si>
    <t>Tarifa Social Propuesta (Bs)</t>
  </si>
  <si>
    <t>Dif. Social - Técnica</t>
  </si>
  <si>
    <t>Viajes / Mes</t>
  </si>
  <si>
    <t>Recaudación Vigente / Mes (Bs)</t>
  </si>
  <si>
    <t>Recaudación Social / Mes (Bs)</t>
  </si>
  <si>
    <t>Evaluación Técnica</t>
  </si>
  <si>
    <t>Adultos</t>
  </si>
  <si>
    <t>Base principal de ingresos</t>
  </si>
  <si>
    <t>Adultos mayores</t>
  </si>
  <si>
    <t>Tarifa preferencial preferida</t>
  </si>
  <si>
    <t>Universitarios</t>
  </si>
  <si>
    <t>Subsidio social a estudiantes sup.</t>
  </si>
  <si>
    <t>Colegiales</t>
  </si>
  <si>
    <t>Mantiene nivel protegido</t>
  </si>
  <si>
    <t>Escolares</t>
  </si>
  <si>
    <t>Mantiene nivel escolar inicial</t>
  </si>
  <si>
    <t>Discapacidad / menores de 5</t>
  </si>
  <si>
    <t>Exención legal plena (0 Bs)</t>
  </si>
  <si>
    <t>TOTAL / PONDERADO:</t>
  </si>
  <si>
    <t>Equilibrio de red</t>
  </si>
  <si>
    <t>GOBIERNO AUTÓNOMO MUNICIPAL DE SUCRE &amp; ECOTRAFFIC — ECONOMÍA DEL TRANSPORTISTA</t>
  </si>
  <si>
    <t>Doble Cuenta: Flujo Real de Caja del Hogar Propietario vs. Cuenta Económica Regulatoria Oficial v3.2</t>
  </si>
  <si>
    <t>Tarifa Vigente (Obs.)</t>
  </si>
  <si>
    <t>Tarifa Técnica (Eq.)</t>
  </si>
  <si>
    <t>Tarifa Social (Prop.)</t>
  </si>
  <si>
    <t>Escenario Estrés</t>
  </si>
  <si>
    <t>Lectura Metodológica</t>
  </si>
  <si>
    <t>Tarifa ponderada de pasaje (Bs/viaje)</t>
  </si>
  <si>
    <t>Cálculo dinámico</t>
  </si>
  <si>
    <t>Recaudación bruta mensual (Bs/mes)</t>
  </si>
  <si>
    <t>Combustible efectivo (Bs/mes)</t>
  </si>
  <si>
    <t>Mantenimiento auditado (Bs/mes)</t>
  </si>
  <si>
    <t>Remuneración laboral conductor (Bs/mes)</t>
  </si>
  <si>
    <t>Otros costos fijos en efectivo (Bs/mes)</t>
  </si>
  <si>
    <t>OPEX EFECTIVO EN CAJA (Bs/mes)</t>
  </si>
  <si>
    <t>Excedente operativo de caja (Bs/mes)</t>
  </si>
  <si>
    <t>Servicio de deuda individual (Bs/mes)</t>
  </si>
  <si>
    <t>Caja después de deuda (Bs/mes)</t>
  </si>
  <si>
    <t>Reserva de reposición / Depreciación (Bs/mes)</t>
  </si>
  <si>
    <t>CAJA LIBRE DESPUÉS DE RESERVA (Bs/mes)</t>
  </si>
  <si>
    <t>Retorno permitido al capital WACC (Bs/mes)</t>
  </si>
  <si>
    <t>UTILIDAD ECONÓMICA EXCEDENTE (Bs/mes)</t>
  </si>
  <si>
    <t>Remuneración del propietario conductor (Bs/mes)</t>
  </si>
  <si>
    <t>INGRESO MENSUAL DEL HOGAR PROPIETARIO (Bs/mes)</t>
  </si>
  <si>
    <t>Retorno total anual sobre activo invertido</t>
  </si>
  <si>
    <t>Punto de equilibrio mensual (Pasajeros/mes)</t>
  </si>
  <si>
    <t>Punto de equilibrio diario (Pasajeros/día)</t>
  </si>
  <si>
    <t>IPK de equilibrio técnico</t>
  </si>
  <si>
    <t>GOBIERNO AUTÓNOMO MUNICIPAL DE SUCRE &amp; ECOTRAFFIC — RENTABILIDAD DE LAS 32 RUTAS</t>
  </si>
  <si>
    <t>Asignación de Kilometraje, Demanda, Costos y Utilidad por Línea | Factor de Conciliación de Red</t>
  </si>
  <si>
    <t>Vueltas/día escenario:</t>
  </si>
  <si>
    <t>km implícitos rutas:</t>
  </si>
  <si>
    <t>km auditados red:</t>
  </si>
  <si>
    <t>Factor de Conciliación:</t>
  </si>
  <si>
    <t>Sindicato</t>
  </si>
  <si>
    <t>Línea de Transporte</t>
  </si>
  <si>
    <t>Distancia Ciclo (km)</t>
  </si>
  <si>
    <t>Flota Inventario</t>
  </si>
  <si>
    <t>Flota Activa Asignada</t>
  </si>
  <si>
    <t>Factor Concil.</t>
  </si>
  <si>
    <t>km / Unidad / Mes</t>
  </si>
  <si>
    <t>Pasajeros / Unidad / Mes</t>
  </si>
  <si>
    <t>Ingreso Neto Vigente (Bs)</t>
  </si>
  <si>
    <t>Ingreso Neto Social (Bs)</t>
  </si>
  <si>
    <t>OPEX Efectivo (Bs)</t>
  </si>
  <si>
    <t>Reserva Reposición (Bs)</t>
  </si>
  <si>
    <t>Utilidad Econ. Vigente (Bs)</t>
  </si>
  <si>
    <t>Utilidad Econ. Social (Bs)</t>
  </si>
  <si>
    <t>Estado Semáforo</t>
  </si>
  <si>
    <t>San Cristóbal</t>
  </si>
  <si>
    <t>Línea 12 amarillo</t>
  </si>
  <si>
    <t>Línea 12 Rosado</t>
  </si>
  <si>
    <t>Línea 1</t>
  </si>
  <si>
    <t>Línea 2</t>
  </si>
  <si>
    <t>Línea 3</t>
  </si>
  <si>
    <t>Línea 4</t>
  </si>
  <si>
    <t>Línea 5</t>
  </si>
  <si>
    <t>Línea 6</t>
  </si>
  <si>
    <t>Línea 7</t>
  </si>
  <si>
    <t>Línea 8</t>
  </si>
  <si>
    <t>Línea 10</t>
  </si>
  <si>
    <t>Línea 11</t>
  </si>
  <si>
    <t>Línea 14 (Tramo A)</t>
  </si>
  <si>
    <t>Línea 25</t>
  </si>
  <si>
    <t>Línea 33</t>
  </si>
  <si>
    <t>Línea 77</t>
  </si>
  <si>
    <t>Línea 125</t>
  </si>
  <si>
    <t>Línea 01</t>
  </si>
  <si>
    <t>Línea 14 (Tramo B)</t>
  </si>
  <si>
    <t>Sindicato Sucre</t>
  </si>
  <si>
    <t>Línea K 50</t>
  </si>
  <si>
    <t>Línea 20</t>
  </si>
  <si>
    <t>Línea B (Amarillo) 21</t>
  </si>
  <si>
    <t>Línea FX 80</t>
  </si>
  <si>
    <t>Línea FX 15</t>
  </si>
  <si>
    <t>Línea Q Rosada</t>
  </si>
  <si>
    <t>Línea Q Amarillo 55</t>
  </si>
  <si>
    <t>Línea A 30</t>
  </si>
  <si>
    <t>Línea G 60</t>
  </si>
  <si>
    <t>Línea C 70</t>
  </si>
  <si>
    <t>Línea L 18</t>
  </si>
  <si>
    <t>Línea B Verde 101</t>
  </si>
  <si>
    <t>Línea D 87</t>
  </si>
  <si>
    <t>TOTAL SISTEMA:</t>
  </si>
  <si>
    <t>GOBIERNO AUTÓNOMO MUNICIPAL DE SUCRE &amp; ECOTRAFFIC — FÓRMULA DE REAJUSTE TARIFARIO</t>
  </si>
  <si>
    <t>Índice Paramétrico Laspeyres de Costos de Transporte Urbano | Gobernanza y Revisión Trimestral</t>
  </si>
  <si>
    <t>CANASTA PONDERADA DE COSTOS AUDITADOS (ESTRUCTURA BASE 100%)</t>
  </si>
  <si>
    <t>Insumo / Componente</t>
  </si>
  <si>
    <t>Costo Mensual Base (Bs)</t>
  </si>
  <si>
    <t>Ponderación (alpha)</t>
  </si>
  <si>
    <t>Índice Base</t>
  </si>
  <si>
    <t>Índice Actual</t>
  </si>
  <si>
    <t>Relativo (I_t / I_0)</t>
  </si>
  <si>
    <t>Aporte al Reajuste</t>
  </si>
  <si>
    <t>Fuente Oficial Trimestral</t>
  </si>
  <si>
    <t>Precio oficial regulado de YPFB / ANH</t>
  </si>
  <si>
    <t>Trabajo (Personal conducción)</t>
  </si>
  <si>
    <t>Decreto de Salario Mínimo Nacional / Convenio</t>
  </si>
  <si>
    <t>Mantenimiento y Repuestos</t>
  </si>
  <si>
    <t>Canasta técnica municipal de 52 insumos Nissan</t>
  </si>
  <si>
    <t>Índice de Precios al Consumidor (IPC General INE)</t>
  </si>
  <si>
    <t>Costo de Capital (Depreciación + WACC)</t>
  </si>
  <si>
    <t>Tasa activa bancaria regulada BCB / ASFI</t>
  </si>
  <si>
    <t>TOTAL COSTO AUDITADO (BASE 100%):</t>
  </si>
  <si>
    <t>MECANISMO DE ACTIVACIÓN TRIMESTRAL Y GOBERNANZA</t>
  </si>
  <si>
    <t>Índice de Costos Acumulado Actual (I_t)</t>
  </si>
  <si>
    <t>Suma ponderada de relativos de insumos</t>
  </si>
  <si>
    <t>Variación Acumulada de Costos</t>
  </si>
  <si>
    <t>Diferencia relativa respecto a la base</t>
  </si>
  <si>
    <t>Umbral de Activación Simétrico</t>
  </si>
  <si>
    <t>% umbral</t>
  </si>
  <si>
    <t>Acuerdo regulatorio de activación (±5%)</t>
  </si>
  <si>
    <t>Decisión Técnica Regulatoria</t>
  </si>
  <si>
    <t>dictamen</t>
  </si>
  <si>
    <t>Filtro anti-volatilidad para estabilidad ciudadana</t>
  </si>
  <si>
    <t>Tarifa Técnica Auditada Vigente</t>
  </si>
  <si>
    <t>Bs/viaje</t>
  </si>
  <si>
    <t>Tarifa de costo actual</t>
  </si>
  <si>
    <t>Tarifa Técnica Indexada Resultante</t>
  </si>
  <si>
    <t>Tarifa resultante tras aplicación del índice</t>
  </si>
  <si>
    <t>GOBIERNO AUTÓNOMO MUNICIPAL DE SUCRE &amp; ECOTRAFFIC — MATRIZ DE ESCENARIOS DE NEGOCIACIÓN</t>
  </si>
  <si>
    <t>Comparación Homogénea de Ingresos, Costos, Rentabilidad e Impacto Social | Base Técnica Oficial</t>
  </si>
  <si>
    <t>Escenario de Negociación</t>
  </si>
  <si>
    <t>Demanda (pax/día)</t>
  </si>
  <si>
    <t>Rend. (km/l)</t>
  </si>
  <si>
    <t>Conductores</t>
  </si>
  <si>
    <t>Tarifa Pond. (Bs)</t>
  </si>
  <si>
    <t>Ingreso Neto / Unidad (Bs)</t>
  </si>
  <si>
    <t>Costo Regulatorio / Unidad (Bs)</t>
  </si>
  <si>
    <t>Ingreso Hogar Propietario (Bs)</t>
  </si>
  <si>
    <t>Utilidad Excedente (Bs)</t>
  </si>
  <si>
    <t>Dictamen Técnico</t>
  </si>
  <si>
    <t>1. Vigente Observado</t>
  </si>
  <si>
    <t>Tarifa actual con sobreganancia económica</t>
  </si>
  <si>
    <t>2. Tarifa Técnica de Equilibrio</t>
  </si>
  <si>
    <t>Equilibrio financiero exacto (utilidad = 0)</t>
  </si>
  <si>
    <t>3. Sobrecosto Combustible (+15%) y Demanda (-10%)</t>
  </si>
  <si>
    <t>Estrés severo de costos: aún cubre costos</t>
  </si>
  <si>
    <t>4. Turno Doble Conducción (TDR: 2 Choferes)</t>
  </si>
  <si>
    <t>Requerimiento TDR: absorbe segundo chofer</t>
  </si>
  <si>
    <t>5. Eficiencia Operacional (Flota 800 unidades)</t>
  </si>
  <si>
    <t>Flota racionalizada: menor tarifa requerida</t>
  </si>
  <si>
    <t>GOBIERNO AUTÓNOMO MUNICIPAL DE SUCRE &amp; ECOTRAFFIC — MATRIZ DE AUDITORÍA Y CONTROL</t>
  </si>
  <si>
    <t>Estado Técnico de Validación de Supuestos: Puntos Cerrados Auditados vs. Puntos Abiertos de Concertación</t>
  </si>
  <si>
    <t>1. PUNTOS TÉCNICOS AUDITADOS Y CERRADOS CON LA VERSIÓN v3.2</t>
  </si>
  <si>
    <t>Variable / Rubro</t>
  </si>
  <si>
    <t>Dato Anterior (v3.1)</t>
  </si>
  <si>
    <t>Dato Auditado Cerrado (v3.2)</t>
  </si>
  <si>
    <t>Impacto Técnico</t>
  </si>
  <si>
    <t>Estado</t>
  </si>
  <si>
    <t>Evidencia de Respaldo</t>
  </si>
  <si>
    <t>Responsable Técnico</t>
  </si>
  <si>
    <t>Bs. 4.266,02/mes</t>
  </si>
  <si>
    <t>Bs. 2.869,75/mes</t>
  </si>
  <si>
    <t>-32,7% (-Bs. 1.396,27/mes) en costo COV</t>
  </si>
  <si>
    <t>Planilla técnica oficial v2 (52 ítems Nissan)</t>
  </si>
  <si>
    <t>Auditoría Técnica Ecotraffic</t>
  </si>
  <si>
    <t>Rendimiento Diésel</t>
  </si>
  <si>
    <t>2,94 vs 3,50 vs 4,50 km/l</t>
  </si>
  <si>
    <t>5,50 km/l (+15% ralentí urbano)</t>
  </si>
  <si>
    <t>Consumo auditado: 4,78 km/l efectivo</t>
  </si>
  <si>
    <t>Prueba de consumo en ruta urbana cerrada</t>
  </si>
  <si>
    <t>Comisión Técnica Mixta</t>
  </si>
  <si>
    <t>Producción de Red</t>
  </si>
  <si>
    <t>Dispersa (82.066 a 85.317 km)</t>
  </si>
  <si>
    <t>82.475,00 km/día</t>
  </si>
  <si>
    <t>Producción física base consolidada</t>
  </si>
  <si>
    <t>Consolidación satelital GPS de 30 días</t>
  </si>
  <si>
    <t>Auditoría de Transporte</t>
  </si>
  <si>
    <t>Demanda Total Diaria</t>
  </si>
  <si>
    <t>273.000 vs 265.569 pax</t>
  </si>
  <si>
    <t>265.569 pasajeros/día</t>
  </si>
  <si>
    <t>Base de pasajeros pagos equivalentes</t>
  </si>
  <si>
    <t>Aforo clasificado en puntos de máxima carga</t>
  </si>
  <si>
    <t>Consultora / GAM Sucre</t>
  </si>
  <si>
    <t>2. PUNTOS ABIERTOS EN LA MESA DE CONCERTACIÓN Y NEGOCIACIÓN (GAM SUCRE — SINDICATOS)</t>
  </si>
  <si>
    <t>Variable en Negociación</t>
  </si>
  <si>
    <t>Postura A (Sindicatos)</t>
  </si>
  <si>
    <t>Postura B (Municipio / Técnico)</t>
  </si>
  <si>
    <t>Impacto en Tarifa Técnica</t>
  </si>
  <si>
    <t>Evidencia Exigida</t>
  </si>
  <si>
    <t>Mesa Responsable</t>
  </si>
  <si>
    <t>Flota Activa Operativa</t>
  </si>
  <si>
    <t>987 a 1.003 vehículos</t>
  </si>
  <si>
    <t>874 vehículos (inventario patentes)</t>
  </si>
  <si>
    <t>Alto: define el costo fijo por unidad y oferta</t>
  </si>
  <si>
    <t>ABIERTO</t>
  </si>
  <si>
    <t>Padrón biométrico + control GPS de encendido diario</t>
  </si>
  <si>
    <t>Mesa 1: Flota y Operación</t>
  </si>
  <si>
    <t>Vueltas / Día por Unidad</t>
  </si>
  <si>
    <t>3,00 vueltas/día (despacho)</t>
  </si>
  <si>
    <t>3,50 vueltas/día (programación teórica)</t>
  </si>
  <si>
    <t>Medio: altera el kilometraje unitario y frecuencia</t>
  </si>
  <si>
    <t>Registros de hoja de ruta en cabeceras de línea</t>
  </si>
  <si>
    <t>Índice Pasajeros/Km (IPK)</t>
  </si>
  <si>
    <t>2,20 pax/km (afirmación gremial)</t>
  </si>
  <si>
    <t>3,22 pax/km (aforo observado red)</t>
  </si>
  <si>
    <t>Crítico: cambia la recaudación en ±31%</t>
  </si>
  <si>
    <t>Aforos simultáneos y validación electrónica de caja</t>
  </si>
  <si>
    <t>Mesa 2: Demanda e Ingresos</t>
  </si>
  <si>
    <t>Régimen de Conducción</t>
  </si>
  <si>
    <t>2 choferes (2 x Bs. 2.800)</t>
  </si>
  <si>
    <t>1 chofer (1 x Bs. 3.300 + aguinaldo)</t>
  </si>
  <si>
    <t>Alto: incrementa costo laboral en Bs. 3.000+/mes</t>
  </si>
  <si>
    <t>Inspección de turnos y planillas Ministerio Trabajo</t>
  </si>
  <si>
    <t>Mesa 3: Régimen Laboral</t>
  </si>
  <si>
    <t>GOBIERNO AUTÓNOMO MUNICIPAL DE SUCRE &amp; ECOTRAFFIC — METODOLOGÍA Y GLOSARIO DE FÓRMULAS</t>
  </si>
  <si>
    <t>Guía Conceptual y Trazabilidad Matemática del Modelo Tarifario en Lenguaje Llano Institucional</t>
  </si>
  <si>
    <t>1. LA ECUACIÓN FUNDAMENTAL DE LA TARIFA TÉCNICA (Tt = COV / IPK)</t>
  </si>
  <si>
    <t>¿Qué significa en lenguaje llano?
La Tarifa Técnica es el precio exacto por viaje que cubre todos los costos reales de operación (combustible, repuestos, chofer, seguros), la reposición periódica del microbús (depreciación) y una ganancia justa y normal al capital invertido (11% anual), sin generar ni pérdidas ni sobreganancias extraordinarias.
Fórmula directa de equilibrio financiero:
   Tt = Costo Económico Regulatorio Mensual / Pasajeros Transportados al Mes
   Tt = Bs. 18.790,59 / 6.995,74 pasajeros = Bs. 2,6860 por viaje (Ponderada) -&gt; Tarifa Adulto: Bs. 3,45 por viaje.
Formulación equivalente por productividad:
   Tt = Costo por Kilómetro (CPK) / Índice de Pasajeros por Kilómetro (IPK)
   Tt = (Bs. 8,6489 / km) / (3,21999 pax / km) = Bs. 2,6860 por viaje.
Esta equivalencia demuestra que si el microbús transporta más pasajeros por kilómetro (mayor IPK), la tarifa técnica necesaria baja.</t>
  </si>
  <si>
    <t>2. DESCOMPOSICIÓN DE COSTOS DE OPERACIÓN VEHICULAR (COV: FIJOS VS. VARIABLES)</t>
  </si>
  <si>
    <t>¿Cómo se calculan los costos?
• Costos Variables (por km): Dependen exclusivamente de cuánto rueda el microbús. Si el vehículo no opera, el costo es cero.
   - Combustible: (km_mes / 5,50 km/l) * 17,95 Bs/l * 1,15 (ralentí) = Bs. 8.154,14/mes (Bs. 3,7532/km).
   - Mantenimiento variable: 25,14% de la planilla técnica v2 = Bs. 721,38/mes (Bs. 0,3320/km).
• Costos Fijos (por tiempo): Se pagan mes a mes independientemente del kilometraje recorrido.
   - Mantenimiento fijo: 74,86% de la planilla técnica v2 = Bs. 2.148,37/mes.
   - Conductor: Salario Bs. 3.300 + provisión aguinaldo Bs. 274,99 = Bs. 3.574,99/mes.
   - Administrativos y seguros: SOAT, impuestos, ITV, sindicato, permisos y seguro a terceros = Bs. 720,42/mes.
• Costo de Capital Regulatorio:
   - Depreciación lineal: (Bs. 198.360 valor reposición) / 120 meses = Bs. 1.653,00/mes.
   - Retorno justo al capital: Bs. 198.360 * 11% anual / 12 meses = Bs. 1.818,30/mes.
Total Costo Regulatorio: Bs. 15.319,29 (OPEX en efectivo) + Bs. 3.471,30 (Capital) = Bs. 18.790,59/mes.</t>
  </si>
  <si>
    <t>3. EL FACTOR DE CONCILIACIÓN DE OFERTA DE RED</t>
  </si>
  <si>
    <t>¿Por qué existe y para qué se usa?
Cuando multiplicamos la distancia de ciclo de las 32 rutas por su flota asignada y por 3 vueltas diarias, obtenemos 82.066 km/día.
Sin embargo, el aforo satelital GPS independiente midió 82.475 km/día en la red real (una diferencia de +409 km/día, o +0,50%).
Esta diferencia ocurre por desvíos de tráfico, posicionamiento de unidades y variaciones de ruta.
Fórmula del factor de conciliación:
   Factor = km auditados en calle / km teóricos de las rutas = 82.475 / 82.066 = 1,004978 (1,0050).
El modelo aplica este factor proporcionalmente a cada ruta, garantizando que la suma de costos de las 32 líneas coincida exactamente al centavo con el costo total auditado del sistema, sin sesgos a favor ni en contra de ningún sindicato.</t>
  </si>
  <si>
    <t>4. SEPARACIÓN ESTRICTA: CUENTA DE CAJA REAL VS. CUENTA ECONÓMICA REGULATORIA</t>
  </si>
  <si>
    <t>¿Por qué es fundamental para la transparencia con el GAM de Sucre?
Históricamente, los transportistas confunden tres conceptos distintos: el salario por trabajar, la utilidad del capital y las deudas bancarias.
El modelo profesional v3.2 separa rigurosamente las dos cuentas:
1. Cuenta Regulatoria: Determina la Tarifa Técnica. Incluye OPEX real + depreciación del microbús + 11% de ganancia sobre el vehículo.    Las deudas bancarias particulares del transportista NO se cargan a la tarifa del usuario (sería cobrar dos veces el microbús).
2. Cuenta de Caja del Hogar: Muestra el dinero en efectivo que realmente llega a la familia del transportista.
   Con Tarifa Vigente (Bs. 4,50): El hogar recibe Bs. 3.575 (sueldo) + Bs. 1.818 (retorno) + Bs. 5.729 (utilidad excedente) = Bs. 11.122,76/mes.
   Con Tarifa Social (Bs. 3,80): El hogar recibe Bs. 3.575 (sueldo) + Bs. 1.818 (retorno) + Bs. 2.015 (excedente) = Bs. 7.408,02/mes.
   Con Tarifa Técnica (Bs. 3,45): El hogar recibe Bs. 3.575 (sueldo) + Bs. 1.818 (retorno normal) = Bs. 5.393,29/mes.
En todos los casos, el transportista tiene garantizado un ingreso digno muy superior al salario mínimo nacional.</t>
  </si>
  <si>
    <t>5. GLOSARIO DE TÉRMINOS TÉCNICOS</t>
  </si>
  <si>
    <t>• COV: Costo de Operación Vehicular. Suma integral de insumos, personal, impuestos y capital por microbús.
• IPK: Índice de Pasajeros por Kilómetro. Mide la productividad de demanda (Pasajeros transportados divididos entre km recorridos).
• CPK: Costo por Kilómetro. Gasto económico promedio que cuesta rodar un kilómetro en la red (Bs. 8,65/km).
• CTP: Costo por Pasajero. Costo unitario promedio de trasladar un pasajero (equivale a la tarifa técnica ponderada = Bs. 2,69/viaje).
• FO: Factor de Ocupación. Relación entre pasajeros a bordo y la capacidad nominal de asientos del microbús.
• WTP: Disposición a Pagar (Willingness to Pay). Máximo precio que los usuarios están dispuestos a abonar según encuestas.
• WACC: Costo Promedio Ponderado de Capital (11% anual). Tasa de retorno justa reconocida a la inversión en material rodante.
• Fórmula Laspeyres: Índice ponderado de canasta de costos fija para revisar la tarifa trimestralmente ante inflación objetiva.</t>
  </si>
  <si>
    <t>Propuesta mesa: Bs. 2,80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</si>
</sst>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0"/>
  </numFmts>
  <fonts count="15" x14ac:knownFonts="1">
    <font>
      <sz val="11"/>
      <color theme="1"/>
      <name val="Calibri"/>
      <family val="2"/>
      <scheme val="minor"/>
    </font>
    <font>
      <b/>
      <sz val="13"/>
      <color rgb="FFFFFFFF"/>
      <name val="Segoe UI"/>
    </font>
    <font>
      <i/>
      <sz val="9"/>
      <color rgb="FFCFE2EE"/>
      <name val="Segoe UI"/>
    </font>
    <font>
      <b/>
      <sz val="9"/>
      <color rgb="FFFFFFFF"/>
      <name val="Segoe UI"/>
    </font>
    <font>
      <sz val="9"/>
      <color rgb="FF16324A"/>
      <name val="Segoe UI"/>
    </font>
    <font>
      <b/>
      <sz val="9"/>
      <color rgb="FF16324A"/>
      <name val="Segoe UI"/>
    </font>
    <font>
      <b/>
      <sz val="10"/>
      <color rgb="FFFFFFFF"/>
      <name val="Segoe UI"/>
    </font>
    <font>
      <i/>
      <sz val="8"/>
      <color rgb="FF687B8A"/>
      <name val="Segoe UI"/>
    </font>
    <font>
      <b/>
      <sz val="8"/>
      <color rgb="FF687B8A"/>
      <name val="Segoe UI"/>
    </font>
    <font>
      <b/>
      <sz val="15"/>
      <color rgb="FF102F4B"/>
      <name val="Segoe UI"/>
    </font>
    <font>
      <i/>
      <sz val="8"/>
      <color rgb="FF236B92"/>
      <name val="Segoe UI"/>
    </font>
    <font>
      <sz val="10"/>
      <color theme="1"/>
      <name val="Calibri"/>
      <family val="2"/>
      <scheme val="minor"/>
    </font>
    <font>
      <sz val="9"/>
      <color theme="1"/>
      <name val="Calibri"/>
      <family val="2"/>
      <scheme val="minor"/>
    </font>
    <font>
      <b/>
      <sz val="9"/>
      <color rgb="FF16324A"/>
      <name val="Segoe UI"/>
      <family val="2"/>
    </font>
    <font>
      <i/>
      <sz val="8"/>
      <color rgb="FF236B92"/>
      <name val="Segoe UI"/>
      <family val="2"/>
    </font>
  </fonts>
  <fills count="10">
    <fill>
      <patternFill patternType="none"/>
    </fill>
    <fill>
      <patternFill patternType="gray125"/>
    </fill>
    <fill>
      <patternFill patternType="solid">
        <fgColor rgb="FF102F4B"/>
        <bgColor rgb="FF102F4B"/>
      </patternFill>
    </fill>
    <fill>
      <patternFill patternType="solid">
        <fgColor rgb="FF236B92"/>
        <bgColor rgb="FF236B92"/>
      </patternFill>
    </fill>
    <fill>
      <patternFill patternType="solid">
        <fgColor rgb="FFEDF5E8"/>
        <bgColor rgb="FFEDF5E8"/>
      </patternFill>
    </fill>
    <fill>
      <patternFill patternType="solid">
        <fgColor rgb="FFFFF9E6"/>
        <bgColor rgb="FFFFF9E6"/>
      </patternFill>
    </fill>
    <fill>
      <patternFill patternType="solid">
        <fgColor rgb="FFEEF5F8"/>
        <bgColor rgb="FFEEF5F8"/>
      </patternFill>
    </fill>
    <fill>
      <patternFill patternType="solid">
        <fgColor rgb="FFE5EFF4"/>
        <bgColor rgb="FFE5EFF4"/>
      </patternFill>
    </fill>
    <fill>
      <patternFill patternType="solid">
        <fgColor rgb="FFFFC000"/>
        <bgColor rgb="FFEEF5F8"/>
      </patternFill>
    </fill>
    <fill>
      <patternFill patternType="solid">
        <fgColor rgb="FFFFC000"/>
        <bgColor indexed="64"/>
      </patternFill>
    </fill>
  </fills>
  <borders count="3">
    <border>
      <left/>
      <right/>
      <top/>
      <bottom/>
      <diagonal/>
    </border>
    <border>
      <left style="thin">
        <color rgb="FFDCE4E8"/>
      </left>
      <right style="thin">
        <color rgb="FFDCE4E8"/>
      </right>
      <top style="thin">
        <color rgb="FFDCE4E8"/>
      </top>
      <bottom style="thin">
        <color rgb="FFDCE4E8"/>
      </bottom>
      <diagonal/>
    </border>
    <border>
      <left style="thin">
        <color rgb="FFDCE4E8"/>
      </left>
      <right style="thin">
        <color rgb="FFDCE4E8"/>
      </right>
      <top style="thin">
        <color rgb="FFDCE4E8"/>
      </top>
      <bottom style="double">
        <color rgb="FF102F4B"/>
      </bottom>
      <diagonal/>
    </border>
  </borders>
  <cellStyleXfs count="1">
    <xf numFmtId="0" fontId="0" fillId="0" borderId="0"/>
  </cellStyleXfs>
  <cellXfs count="91">
    <xf numFmtId="0" fontId="0" fillId="0" borderId="0" xfId="0"/>
    <xf numFmtId="0" fontId="5" fillId="4" borderId="1" xfId="0" applyFont="1" applyFill="1" applyBorder="1" applyAlignment="1">
      <alignment horizontal="center" vertical="center"/>
    </xf>
    <xf numFmtId="0" fontId="8" fillId="6" borderId="1" xfId="0" applyFont="1" applyFill="1" applyBorder="1" applyAlignment="1">
      <alignment horizontal="center" vertical="center"/>
    </xf>
    <xf numFmtId="4" fontId="9" fillId="6" borderId="1" xfId="0" applyNumberFormat="1" applyFont="1" applyFill="1" applyBorder="1" applyAlignment="1">
      <alignment horizontal="center" vertical="center"/>
    </xf>
    <xf numFmtId="0" fontId="10" fillId="6"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0" borderId="1" xfId="0" applyFont="1" applyBorder="1" applyAlignment="1">
      <alignment horizontal="left" vertical="center"/>
    </xf>
    <xf numFmtId="165" fontId="4" fillId="0" borderId="1" xfId="0" applyNumberFormat="1" applyFont="1" applyBorder="1"/>
    <xf numFmtId="4" fontId="4" fillId="0" borderId="1" xfId="0" applyNumberFormat="1" applyFont="1" applyBorder="1"/>
    <xf numFmtId="164" fontId="4" fillId="0" borderId="1" xfId="0" applyNumberFormat="1" applyFont="1" applyBorder="1"/>
    <xf numFmtId="0" fontId="4" fillId="4" borderId="1" xfId="0" applyFont="1" applyFill="1" applyBorder="1" applyAlignment="1">
      <alignment horizontal="center" vertical="center"/>
    </xf>
    <xf numFmtId="0" fontId="5" fillId="4" borderId="2" xfId="0" applyFont="1" applyFill="1" applyBorder="1" applyAlignment="1">
      <alignment horizontal="right" vertical="center"/>
    </xf>
    <xf numFmtId="165" fontId="5" fillId="4" borderId="2" xfId="0" applyNumberFormat="1" applyFont="1" applyFill="1" applyBorder="1"/>
    <xf numFmtId="166" fontId="5" fillId="4" borderId="2" xfId="0" applyNumberFormat="1" applyFont="1" applyFill="1" applyBorder="1"/>
    <xf numFmtId="164" fontId="5" fillId="4" borderId="2" xfId="0" applyNumberFormat="1" applyFont="1" applyFill="1" applyBorder="1"/>
    <xf numFmtId="4" fontId="5" fillId="4" borderId="2" xfId="0" applyNumberFormat="1" applyFont="1" applyFill="1" applyBorder="1"/>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2" fontId="4" fillId="0" borderId="1" xfId="0" applyNumberFormat="1" applyFont="1" applyBorder="1"/>
    <xf numFmtId="0" fontId="4" fillId="0" borderId="1" xfId="0" applyFont="1" applyBorder="1" applyAlignment="1">
      <alignment horizontal="center" vertical="center"/>
    </xf>
    <xf numFmtId="0" fontId="5" fillId="4" borderId="1" xfId="0" applyFont="1" applyFill="1" applyBorder="1" applyAlignment="1">
      <alignment horizontal="left" vertical="center"/>
    </xf>
    <xf numFmtId="4" fontId="5" fillId="4" borderId="1" xfId="0" applyNumberFormat="1" applyFont="1" applyFill="1" applyBorder="1"/>
    <xf numFmtId="3" fontId="4" fillId="0" borderId="1" xfId="0" applyNumberFormat="1" applyFont="1" applyBorder="1"/>
    <xf numFmtId="0" fontId="0" fillId="0" borderId="2" xfId="0" applyBorder="1"/>
    <xf numFmtId="4" fontId="5" fillId="5" borderId="2" xfId="0" applyNumberFormat="1" applyFont="1" applyFill="1" applyBorder="1"/>
    <xf numFmtId="0" fontId="5" fillId="0" borderId="1" xfId="0" applyFont="1" applyBorder="1" applyAlignment="1">
      <alignment horizontal="left" vertical="center"/>
    </xf>
    <xf numFmtId="3" fontId="5" fillId="0" borderId="1" xfId="0" applyNumberFormat="1" applyFont="1" applyBorder="1" applyAlignment="1">
      <alignment horizontal="right" vertical="center"/>
    </xf>
    <xf numFmtId="0" fontId="7" fillId="0" borderId="1" xfId="0" applyFont="1" applyBorder="1" applyAlignment="1">
      <alignment horizontal="center" vertical="center"/>
    </xf>
    <xf numFmtId="4" fontId="5" fillId="0" borderId="1" xfId="0" applyNumberFormat="1" applyFont="1" applyBorder="1" applyAlignment="1">
      <alignment horizontal="right" vertical="center"/>
    </xf>
    <xf numFmtId="2" fontId="5" fillId="0" borderId="1" xfId="0" applyNumberFormat="1" applyFont="1" applyBorder="1" applyAlignment="1">
      <alignment horizontal="right" vertical="center"/>
    </xf>
    <xf numFmtId="164" fontId="5" fillId="0" borderId="1" xfId="0" applyNumberFormat="1" applyFont="1" applyBorder="1" applyAlignment="1">
      <alignment horizontal="right" vertical="center"/>
    </xf>
    <xf numFmtId="165" fontId="5" fillId="0" borderId="1" xfId="0" applyNumberFormat="1" applyFont="1" applyBorder="1" applyAlignment="1">
      <alignment horizontal="right" vertical="center"/>
    </xf>
    <xf numFmtId="0" fontId="0" fillId="0" borderId="0" xfId="0" applyAlignment="1">
      <alignment horizontal="center" vertical="center"/>
    </xf>
    <xf numFmtId="0" fontId="0" fillId="0" borderId="0" xfId="0" applyAlignment="1">
      <alignment horizontal="left" vertical="center"/>
    </xf>
    <xf numFmtId="4" fontId="0" fillId="0" borderId="0" xfId="0" applyNumberFormat="1"/>
    <xf numFmtId="164" fontId="0" fillId="0" borderId="0" xfId="0" applyNumberFormat="1"/>
    <xf numFmtId="165" fontId="0" fillId="0" borderId="0" xfId="0" applyNumberFormat="1"/>
    <xf numFmtId="4" fontId="5" fillId="6" borderId="2" xfId="0" applyNumberFormat="1" applyFont="1" applyFill="1" applyBorder="1"/>
    <xf numFmtId="164" fontId="5" fillId="0" borderId="2" xfId="0" applyNumberFormat="1" applyFont="1" applyBorder="1"/>
    <xf numFmtId="165" fontId="5" fillId="0" borderId="2" xfId="0" applyNumberFormat="1" applyFont="1" applyBorder="1"/>
    <xf numFmtId="0" fontId="0" fillId="0" borderId="1" xfId="0" applyBorder="1" applyAlignment="1">
      <alignment horizontal="center" vertical="center"/>
    </xf>
    <xf numFmtId="0" fontId="0" fillId="0" borderId="1" xfId="0" applyBorder="1" applyAlignment="1">
      <alignment horizontal="left" vertical="center"/>
    </xf>
    <xf numFmtId="4" fontId="0" fillId="0" borderId="1" xfId="0" applyNumberFormat="1" applyBorder="1"/>
    <xf numFmtId="164" fontId="0" fillId="0" borderId="1" xfId="0" applyNumberFormat="1" applyBorder="1"/>
    <xf numFmtId="165" fontId="0" fillId="0" borderId="1" xfId="0" applyNumberFormat="1" applyBorder="1"/>
    <xf numFmtId="0" fontId="5" fillId="0" borderId="0" xfId="0" applyFont="1"/>
    <xf numFmtId="4" fontId="5" fillId="0" borderId="0" xfId="0" applyNumberFormat="1" applyFont="1"/>
    <xf numFmtId="164" fontId="5" fillId="5" borderId="0" xfId="0" applyNumberFormat="1" applyFont="1" applyFill="1"/>
    <xf numFmtId="0" fontId="7" fillId="0" borderId="0" xfId="0" applyFont="1"/>
    <xf numFmtId="3" fontId="5" fillId="4" borderId="2" xfId="0" applyNumberFormat="1" applyFont="1" applyFill="1" applyBorder="1"/>
    <xf numFmtId="0" fontId="5" fillId="5" borderId="1" xfId="0" applyFont="1" applyFill="1" applyBorder="1" applyAlignment="1">
      <alignment horizontal="left" vertical="center"/>
    </xf>
    <xf numFmtId="4" fontId="5" fillId="5" borderId="1" xfId="0" applyNumberFormat="1" applyFont="1" applyFill="1" applyBorder="1"/>
    <xf numFmtId="0" fontId="4" fillId="5" borderId="1" xfId="0" applyFont="1" applyFill="1" applyBorder="1" applyAlignment="1">
      <alignment horizontal="left" vertical="center"/>
    </xf>
    <xf numFmtId="4" fontId="5" fillId="0" borderId="1" xfId="0" applyNumberFormat="1" applyFont="1" applyBorder="1"/>
    <xf numFmtId="0" fontId="5" fillId="6" borderId="1" xfId="0" applyFont="1" applyFill="1" applyBorder="1" applyAlignment="1">
      <alignment horizontal="left" vertical="center"/>
    </xf>
    <xf numFmtId="4" fontId="5" fillId="6" borderId="1" xfId="0" applyNumberFormat="1" applyFont="1" applyFill="1" applyBorder="1"/>
    <xf numFmtId="0" fontId="4" fillId="6" borderId="1" xfId="0" applyFont="1" applyFill="1" applyBorder="1" applyAlignment="1">
      <alignment horizontal="left" vertical="center"/>
    </xf>
    <xf numFmtId="0" fontId="4" fillId="4" borderId="1" xfId="0" applyFont="1" applyFill="1" applyBorder="1" applyAlignment="1">
      <alignment horizontal="left" vertical="center"/>
    </xf>
    <xf numFmtId="2" fontId="5" fillId="0" borderId="0" xfId="0" applyNumberFormat="1" applyFont="1"/>
    <xf numFmtId="0" fontId="5" fillId="4" borderId="2" xfId="0" applyFont="1" applyFill="1" applyBorder="1"/>
    <xf numFmtId="10" fontId="0" fillId="0" borderId="1" xfId="0" applyNumberFormat="1" applyBorder="1"/>
    <xf numFmtId="2" fontId="0" fillId="0" borderId="1" xfId="0" applyNumberFormat="1" applyBorder="1"/>
    <xf numFmtId="0" fontId="5" fillId="5" borderId="1" xfId="0" applyFont="1" applyFill="1" applyBorder="1" applyAlignment="1">
      <alignment horizontal="right" vertical="center"/>
    </xf>
    <xf numFmtId="0" fontId="5" fillId="5" borderId="1" xfId="0" applyFont="1" applyFill="1" applyBorder="1" applyAlignment="1">
      <alignment horizontal="center" vertical="center"/>
    </xf>
    <xf numFmtId="0" fontId="8" fillId="6" borderId="1" xfId="0" applyFont="1" applyFill="1" applyBorder="1" applyAlignment="1">
      <alignment horizontal="center" vertical="center"/>
    </xf>
    <xf numFmtId="0" fontId="0" fillId="0" borderId="1" xfId="0" applyBorder="1"/>
    <xf numFmtId="0" fontId="6" fillId="3" borderId="0" xfId="0" applyFont="1" applyFill="1" applyAlignment="1">
      <alignment horizontal="left" vertical="center"/>
    </xf>
    <xf numFmtId="0" fontId="0" fillId="0" borderId="0" xfId="0"/>
    <xf numFmtId="0" fontId="10" fillId="6" borderId="1" xfId="0" applyFont="1" applyFill="1" applyBorder="1" applyAlignment="1">
      <alignment horizontal="center" vertical="center"/>
    </xf>
    <xf numFmtId="0" fontId="1" fillId="2" borderId="0" xfId="0" applyFont="1" applyFill="1" applyAlignment="1">
      <alignment horizontal="center" vertical="center"/>
    </xf>
    <xf numFmtId="2" fontId="9" fillId="6" borderId="1" xfId="0" applyNumberFormat="1" applyFont="1" applyFill="1" applyBorder="1" applyAlignment="1">
      <alignment horizontal="center" vertical="center"/>
    </xf>
    <xf numFmtId="4" fontId="9" fillId="6" borderId="1" xfId="0" applyNumberFormat="1" applyFont="1" applyFill="1" applyBorder="1" applyAlignment="1">
      <alignment horizontal="center" vertical="center"/>
    </xf>
    <xf numFmtId="0" fontId="5" fillId="7" borderId="1" xfId="0" applyFont="1" applyFill="1" applyBorder="1" applyAlignment="1">
      <alignment horizontal="center" vertical="center"/>
    </xf>
    <xf numFmtId="0" fontId="5" fillId="4" borderId="1" xfId="0" applyFont="1" applyFill="1" applyBorder="1" applyAlignment="1">
      <alignment horizontal="center" vertical="center"/>
    </xf>
    <xf numFmtId="0" fontId="2" fillId="3" borderId="0" xfId="0" applyFont="1" applyFill="1" applyAlignment="1">
      <alignment horizontal="center" vertical="center"/>
    </xf>
    <xf numFmtId="0" fontId="5" fillId="5" borderId="1" xfId="0" applyFont="1" applyFill="1" applyBorder="1" applyAlignment="1">
      <alignment horizontal="left" vertical="center" wrapText="1"/>
    </xf>
    <xf numFmtId="0" fontId="5" fillId="0" borderId="2" xfId="0" applyFont="1" applyBorder="1" applyAlignment="1">
      <alignment horizontal="right" vertical="center"/>
    </xf>
    <xf numFmtId="0" fontId="0" fillId="0" borderId="2" xfId="0" applyBorder="1"/>
    <xf numFmtId="0" fontId="5" fillId="0" borderId="0" xfId="0" applyFont="1"/>
    <xf numFmtId="0" fontId="4" fillId="6" borderId="1" xfId="0" applyFont="1" applyFill="1" applyBorder="1" applyAlignment="1">
      <alignment horizontal="left" vertical="center" wrapText="1"/>
    </xf>
    <xf numFmtId="0" fontId="3" fillId="2" borderId="1" xfId="0" applyFont="1" applyFill="1" applyBorder="1" applyAlignment="1">
      <alignment horizontal="center" vertical="justify"/>
    </xf>
    <xf numFmtId="40" fontId="4" fillId="0" borderId="1" xfId="0" applyNumberFormat="1" applyFont="1" applyBorder="1"/>
    <xf numFmtId="40" fontId="5" fillId="4" borderId="2" xfId="0" applyNumberFormat="1" applyFont="1" applyFill="1" applyBorder="1"/>
    <xf numFmtId="0" fontId="11" fillId="0" borderId="1" xfId="0" applyFont="1" applyBorder="1" applyAlignment="1">
      <alignment horizontal="center" vertical="center"/>
    </xf>
    <xf numFmtId="0" fontId="11" fillId="0" borderId="1" xfId="0" applyFont="1" applyBorder="1" applyAlignment="1">
      <alignment horizontal="left" vertical="center"/>
    </xf>
    <xf numFmtId="0" fontId="12" fillId="0" borderId="1" xfId="0" applyFont="1" applyBorder="1" applyAlignment="1">
      <alignment horizontal="center" vertical="center"/>
    </xf>
    <xf numFmtId="0" fontId="12" fillId="0" borderId="1" xfId="0" applyFont="1" applyBorder="1" applyAlignment="1">
      <alignment horizontal="left" vertical="center"/>
    </xf>
    <xf numFmtId="4" fontId="9" fillId="8" borderId="1" xfId="0" applyNumberFormat="1" applyFont="1" applyFill="1" applyBorder="1" applyAlignment="1">
      <alignment horizontal="center" vertical="center"/>
    </xf>
    <xf numFmtId="4" fontId="0" fillId="9" borderId="1" xfId="0" applyNumberFormat="1" applyFill="1" applyBorder="1"/>
    <xf numFmtId="165" fontId="13" fillId="4" borderId="2" xfId="0" applyNumberFormat="1" applyFont="1" applyFill="1" applyBorder="1" applyAlignment="1">
      <alignment horizontal="center"/>
    </xf>
    <xf numFmtId="0" fontId="14" fillId="6"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s-BO" sz="1600"/>
              <a:t>Composición del Costo Regulatorio por Unidad / Mes</a:t>
            </a:r>
          </a:p>
        </c:rich>
      </c:tx>
      <c:overlay val="1"/>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s-BO"/>
        </a:p>
      </c:txPr>
    </c:title>
    <c:autoTitleDeleted val="0"/>
    <c:plotArea>
      <c:layout/>
      <c:doughnutChart>
        <c:varyColors val="1"/>
        <c:ser>
          <c:idx val="0"/>
          <c:order val="0"/>
          <c:tx>
            <c:strRef>
              <c:f>RESUMEN_EJECUTIVO!$H$13</c:f>
              <c:strCache>
                <c:ptCount val="1"/>
                <c:pt idx="0">
                  <c:v>Bs / Mes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Lbls>
            <c:numFmt formatCode="0.00%" sourceLinked="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BO"/>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RESUMEN_EJECUTIVO!$G$14:$G$19</c:f>
              <c:strCache>
                <c:ptCount val="6"/>
                <c:pt idx="0">
                  <c:v>Combustible (Diésel)</c:v>
                </c:pt>
                <c:pt idx="1">
                  <c:v>Mantenimiento variable por km</c:v>
                </c:pt>
                <c:pt idx="2">
                  <c:v>Mantenimiento fijo en el tiempo</c:v>
                </c:pt>
                <c:pt idx="3">
                  <c:v>Personal (Conductor + Aguinaldo)</c:v>
                </c:pt>
                <c:pt idx="4">
                  <c:v>Otros Costos Fijos Administrativos</c:v>
                </c:pt>
                <c:pt idx="5">
                  <c:v>Costos de Capital (Depreciación + WACC)</c:v>
                </c:pt>
              </c:strCache>
            </c:strRef>
          </c:cat>
          <c:val>
            <c:numRef>
              <c:f>RESUMEN_EJECUTIVO!$H$14:$H$19</c:f>
              <c:numCache>
                <c:formatCode>#,##0.00</c:formatCode>
                <c:ptCount val="6"/>
                <c:pt idx="0">
                  <c:v>8154.1392419637104</c:v>
                </c:pt>
                <c:pt idx="1">
                  <c:v>713.94312181986663</c:v>
                </c:pt>
                <c:pt idx="2">
                  <c:v>2126.2235448468</c:v>
                </c:pt>
                <c:pt idx="3">
                  <c:v>3574.9999998900003</c:v>
                </c:pt>
                <c:pt idx="4">
                  <c:v>720.41666666666674</c:v>
                </c:pt>
                <c:pt idx="5">
                  <c:v>3471.3</c:v>
                </c:pt>
              </c:numCache>
            </c:numRef>
          </c:val>
          <c:extLst>
            <c:ext xmlns:c16="http://schemas.microsoft.com/office/drawing/2014/chart" uri="{C3380CC4-5D6E-409C-BE32-E72D297353CC}">
              <c16:uniqueId val="{00000000-5F9B-4517-A2A2-E6ABF76FA10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4342482638888887"/>
          <c:y val="0.22427368421052632"/>
          <c:w val="0.31027309027777777"/>
          <c:h val="0.6182947368421052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BO"/>
        </a:p>
      </c:txPr>
    </c:legend>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B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s-BO" sz="1600"/>
              <a:t>Comparativa Tarifaria por Categoría Social (Bs/viaje)</a:t>
            </a:r>
          </a:p>
        </c:rich>
      </c:tx>
      <c:overlay val="1"/>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s-BO"/>
        </a:p>
      </c:txPr>
    </c:title>
    <c:autoTitleDeleted val="0"/>
    <c:plotArea>
      <c:layout>
        <c:manualLayout>
          <c:layoutTarget val="inner"/>
          <c:xMode val="edge"/>
          <c:yMode val="edge"/>
          <c:x val="4.3117283950617286E-2"/>
          <c:y val="7.4269005847953221E-2"/>
          <c:w val="0.95688271604938269"/>
          <c:h val="0.74726871345029244"/>
        </c:manualLayout>
      </c:layout>
      <c:barChart>
        <c:barDir val="col"/>
        <c:grouping val="clustered"/>
        <c:varyColors val="1"/>
        <c:ser>
          <c:idx val="0"/>
          <c:order val="0"/>
          <c:tx>
            <c:strRef>
              <c:f>RESUMEN_EJECUTIVO!$C$13</c:f>
              <c:strCache>
                <c:ptCount val="1"/>
                <c:pt idx="0">
                  <c:v>Vigente (Bs)</c:v>
                </c:pt>
              </c:strCache>
            </c:strRef>
          </c:tx>
          <c:spPr>
            <a:solidFill>
              <a:schemeClr val="accent1">
                <a:alpha val="85000"/>
              </a:schemeClr>
            </a:solidFill>
            <a:ln w="9525" cap="flat" cmpd="sng" algn="ctr">
              <a:solidFill>
                <a:schemeClr val="lt1">
                  <a:alpha val="50000"/>
                </a:schemeClr>
              </a:solidFill>
              <a:round/>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B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RESUMEN_EJECUTIVO!$A$14:$A$19</c:f>
              <c:strCache>
                <c:ptCount val="6"/>
                <c:pt idx="0">
                  <c:v>Adultos</c:v>
                </c:pt>
                <c:pt idx="1">
                  <c:v>Adultos mayores</c:v>
                </c:pt>
                <c:pt idx="2">
                  <c:v>Universitarios</c:v>
                </c:pt>
                <c:pt idx="3">
                  <c:v>Colegiales</c:v>
                </c:pt>
                <c:pt idx="4">
                  <c:v>Escolares</c:v>
                </c:pt>
                <c:pt idx="5">
                  <c:v>Discapacidad / menores de 5</c:v>
                </c:pt>
              </c:strCache>
            </c:strRef>
          </c:cat>
          <c:val>
            <c:numRef>
              <c:f>RESUMEN_EJECUTIVO!$C$14:$C$19</c:f>
              <c:numCache>
                <c:formatCode>#,##0.00</c:formatCode>
                <c:ptCount val="6"/>
                <c:pt idx="0">
                  <c:v>4.5</c:v>
                </c:pt>
                <c:pt idx="1">
                  <c:v>3.5</c:v>
                </c:pt>
                <c:pt idx="2">
                  <c:v>2.5</c:v>
                </c:pt>
                <c:pt idx="3">
                  <c:v>1.5</c:v>
                </c:pt>
                <c:pt idx="4">
                  <c:v>1</c:v>
                </c:pt>
                <c:pt idx="5">
                  <c:v>0</c:v>
                </c:pt>
              </c:numCache>
            </c:numRef>
          </c:val>
          <c:extLst>
            <c:ext xmlns:c16="http://schemas.microsoft.com/office/drawing/2014/chart" uri="{C3380CC4-5D6E-409C-BE32-E72D297353CC}">
              <c16:uniqueId val="{00000000-60F5-4481-BDFE-80A388D5CD2E}"/>
            </c:ext>
          </c:extLst>
        </c:ser>
        <c:ser>
          <c:idx val="1"/>
          <c:order val="1"/>
          <c:tx>
            <c:strRef>
              <c:f>RESUMEN_EJECUTIVO!$D$13</c:f>
              <c:strCache>
                <c:ptCount val="1"/>
                <c:pt idx="0">
                  <c:v>Técnica Equiv. (Bs)</c:v>
                </c:pt>
              </c:strCache>
            </c:strRef>
          </c:tx>
          <c:spPr>
            <a:solidFill>
              <a:schemeClr val="accent2">
                <a:alpha val="85000"/>
              </a:schemeClr>
            </a:solidFill>
            <a:ln w="9525" cap="flat" cmpd="sng" algn="ctr">
              <a:solidFill>
                <a:schemeClr val="lt1">
                  <a:alpha val="50000"/>
                </a:schemeClr>
              </a:solidFill>
              <a:round/>
            </a:ln>
            <a:effectLst/>
          </c:spPr>
          <c:invertIfNegative val="1"/>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B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RESUMEN_EJECUTIVO!$A$14:$A$19</c:f>
              <c:strCache>
                <c:ptCount val="6"/>
                <c:pt idx="0">
                  <c:v>Adultos</c:v>
                </c:pt>
                <c:pt idx="1">
                  <c:v>Adultos mayores</c:v>
                </c:pt>
                <c:pt idx="2">
                  <c:v>Universitarios</c:v>
                </c:pt>
                <c:pt idx="3">
                  <c:v>Colegiales</c:v>
                </c:pt>
                <c:pt idx="4">
                  <c:v>Escolares</c:v>
                </c:pt>
                <c:pt idx="5">
                  <c:v>Discapacidad / menores de 5</c:v>
                </c:pt>
              </c:strCache>
            </c:strRef>
          </c:cat>
          <c:val>
            <c:numRef>
              <c:f>RESUMEN_EJECUTIVO!$D$14:$D$19</c:f>
              <c:numCache>
                <c:formatCode>0.0000</c:formatCode>
                <c:ptCount val="6"/>
                <c:pt idx="0">
                  <c:v>3.4430824601049679</c:v>
                </c:pt>
                <c:pt idx="1">
                  <c:v>2.6779530245260861</c:v>
                </c:pt>
                <c:pt idx="2">
                  <c:v>1.9128235889472043</c:v>
                </c:pt>
                <c:pt idx="3">
                  <c:v>1.1476941533683225</c:v>
                </c:pt>
                <c:pt idx="4">
                  <c:v>0.7651294355788818</c:v>
                </c:pt>
                <c:pt idx="5">
                  <c:v>0</c:v>
                </c:pt>
              </c:numCache>
            </c:numRef>
          </c:val>
          <c:extLst>
            <c:ext xmlns:c16="http://schemas.microsoft.com/office/drawing/2014/chart" uri="{C3380CC4-5D6E-409C-BE32-E72D297353CC}">
              <c16:uniqueId val="{00000001-60F5-4481-BDFE-80A388D5CD2E}"/>
            </c:ext>
          </c:extLst>
        </c:ser>
        <c:ser>
          <c:idx val="2"/>
          <c:order val="2"/>
          <c:tx>
            <c:strRef>
              <c:f>RESUMEN_EJECUTIVO!$E$13</c:f>
              <c:strCache>
                <c:ptCount val="1"/>
                <c:pt idx="0">
                  <c:v>Social Propuesta (Bs)</c:v>
                </c:pt>
              </c:strCache>
            </c:strRef>
          </c:tx>
          <c:spPr>
            <a:solidFill>
              <a:schemeClr val="accent3">
                <a:alpha val="85000"/>
              </a:schemeClr>
            </a:solidFill>
            <a:ln w="9525" cap="flat" cmpd="sng" algn="ctr">
              <a:solidFill>
                <a:schemeClr val="lt1">
                  <a:alpha val="50000"/>
                </a:schemeClr>
              </a:solidFill>
              <a:round/>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B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RESUMEN_EJECUTIVO!$A$14:$A$19</c:f>
              <c:strCache>
                <c:ptCount val="6"/>
                <c:pt idx="0">
                  <c:v>Adultos</c:v>
                </c:pt>
                <c:pt idx="1">
                  <c:v>Adultos mayores</c:v>
                </c:pt>
                <c:pt idx="2">
                  <c:v>Universitarios</c:v>
                </c:pt>
                <c:pt idx="3">
                  <c:v>Colegiales</c:v>
                </c:pt>
                <c:pt idx="4">
                  <c:v>Escolares</c:v>
                </c:pt>
                <c:pt idx="5">
                  <c:v>Discapacidad / menores de 5</c:v>
                </c:pt>
              </c:strCache>
            </c:strRef>
          </c:cat>
          <c:val>
            <c:numRef>
              <c:f>RESUMEN_EJECUTIVO!$E$14:$E$19</c:f>
              <c:numCache>
                <c:formatCode>#,##0.00</c:formatCode>
                <c:ptCount val="6"/>
                <c:pt idx="0">
                  <c:v>3.5</c:v>
                </c:pt>
                <c:pt idx="1">
                  <c:v>3</c:v>
                </c:pt>
                <c:pt idx="2">
                  <c:v>2</c:v>
                </c:pt>
                <c:pt idx="3">
                  <c:v>1.5</c:v>
                </c:pt>
                <c:pt idx="4">
                  <c:v>1</c:v>
                </c:pt>
                <c:pt idx="5">
                  <c:v>0</c:v>
                </c:pt>
              </c:numCache>
            </c:numRef>
          </c:val>
          <c:extLst>
            <c:ext xmlns:c16="http://schemas.microsoft.com/office/drawing/2014/chart" uri="{C3380CC4-5D6E-409C-BE32-E72D297353CC}">
              <c16:uniqueId val="{00000002-60F5-4481-BDFE-80A388D5CD2E}"/>
            </c:ext>
          </c:extLst>
        </c:ser>
        <c:dLbls>
          <c:dLblPos val="inEnd"/>
          <c:showLegendKey val="0"/>
          <c:showVal val="1"/>
          <c:showCatName val="0"/>
          <c:showSerName val="0"/>
          <c:showPercent val="0"/>
          <c:showBubbleSize val="0"/>
        </c:dLbls>
        <c:gapWidth val="65"/>
        <c:axId val="10"/>
        <c:axId val="100"/>
      </c:barChart>
      <c:catAx>
        <c:axId val="1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s-BO"/>
                  <a:t>Categoría Social</a:t>
                </a:r>
              </a:p>
            </c:rich>
          </c:tx>
          <c:overlay val="1"/>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s-BO"/>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BO"/>
          </a:p>
        </c:txPr>
        <c:crossAx val="100"/>
        <c:crosses val="autoZero"/>
        <c:auto val="1"/>
        <c:lblAlgn val="ctr"/>
        <c:lblOffset val="100"/>
        <c:noMultiLvlLbl val="1"/>
      </c:catAx>
      <c:valAx>
        <c:axId val="1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s-BO"/>
                  <a:t>Tarifa (Bs)</a:t>
                </a:r>
              </a:p>
            </c:rich>
          </c:tx>
          <c:overlay val="1"/>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s-BO"/>
            </a:p>
          </c:txPr>
        </c:title>
        <c:numFmt formatCode="#,##0.00" sourceLinked="1"/>
        <c:majorTickMark val="none"/>
        <c:minorTickMark val="none"/>
        <c:tickLblPos val="nextTo"/>
        <c:crossAx val="10"/>
        <c:crosses val="autoZero"/>
        <c:crossBetween val="between"/>
      </c:valAx>
      <c:spPr>
        <a:noFill/>
        <a:ln>
          <a:noFill/>
        </a:ln>
        <a:effectLst/>
      </c:spPr>
    </c:plotArea>
    <c:legend>
      <c:legendPos val="b"/>
      <c:layout>
        <c:manualLayout>
          <c:xMode val="edge"/>
          <c:yMode val="edge"/>
          <c:x val="0.24382376543209877"/>
          <c:y val="0.89277368421052627"/>
          <c:w val="0.5123523148148148"/>
          <c:h val="6.2664912280701757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BO"/>
        </a:p>
      </c:txPr>
    </c:legend>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B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32</xdr:row>
      <xdr:rowOff>0</xdr:rowOff>
    </xdr:from>
    <xdr:ext cx="5760000" cy="34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0</xdr:colOff>
      <xdr:row>32</xdr:row>
      <xdr:rowOff>0</xdr:rowOff>
    </xdr:from>
    <xdr:ext cx="6480000" cy="342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tabSelected="1" topLeftCell="A21" workbookViewId="0">
      <selection activeCell="F33" sqref="F33"/>
    </sheetView>
  </sheetViews>
  <sheetFormatPr baseColWidth="10" defaultColWidth="9.140625" defaultRowHeight="15" x14ac:dyDescent="0.25"/>
  <cols>
    <col min="1" max="1" width="24" customWidth="1"/>
    <col min="2" max="5" width="15" customWidth="1"/>
    <col min="6" max="6" width="12.140625" customWidth="1"/>
    <col min="7" max="7" width="30" customWidth="1"/>
    <col min="8" max="8" width="15" customWidth="1"/>
    <col min="9" max="9" width="13" customWidth="1"/>
    <col min="10" max="10" width="15" customWidth="1"/>
    <col min="11" max="11" width="32" customWidth="1"/>
  </cols>
  <sheetData>
    <row r="1" spans="1:11" ht="18.75" x14ac:dyDescent="0.25">
      <c r="A1" s="69" t="s">
        <v>0</v>
      </c>
      <c r="B1" s="67"/>
      <c r="C1" s="67"/>
      <c r="D1" s="67"/>
      <c r="E1" s="67"/>
      <c r="F1" s="67"/>
      <c r="G1" s="67"/>
      <c r="H1" s="67"/>
      <c r="I1" s="67"/>
      <c r="J1" s="67"/>
      <c r="K1" s="67"/>
    </row>
    <row r="2" spans="1:11" x14ac:dyDescent="0.25">
      <c r="A2" s="74" t="s">
        <v>1</v>
      </c>
      <c r="B2" s="67"/>
      <c r="C2" s="67"/>
      <c r="D2" s="67"/>
      <c r="E2" s="67"/>
      <c r="F2" s="67"/>
      <c r="G2" s="67"/>
      <c r="H2" s="67"/>
      <c r="I2" s="67"/>
      <c r="J2" s="67"/>
      <c r="K2" s="67"/>
    </row>
    <row r="4" spans="1:11" x14ac:dyDescent="0.25">
      <c r="A4" s="72" t="s">
        <v>2</v>
      </c>
      <c r="B4" s="65"/>
      <c r="C4" s="65"/>
      <c r="D4" s="72" t="s">
        <v>3</v>
      </c>
      <c r="E4" s="65"/>
      <c r="F4" s="65"/>
      <c r="G4" s="65"/>
      <c r="H4" s="73" t="s">
        <v>4</v>
      </c>
      <c r="I4" s="65"/>
      <c r="J4" s="65"/>
      <c r="K4" s="65"/>
    </row>
    <row r="6" spans="1:11" x14ac:dyDescent="0.25">
      <c r="A6" s="64" t="s">
        <v>5</v>
      </c>
      <c r="B6" s="65"/>
      <c r="C6" s="64" t="s">
        <v>6</v>
      </c>
      <c r="D6" s="65"/>
      <c r="E6" s="64" t="s">
        <v>7</v>
      </c>
      <c r="F6" s="65"/>
      <c r="G6" s="64" t="s">
        <v>8</v>
      </c>
      <c r="H6" s="65"/>
      <c r="I6" s="64" t="s">
        <v>9</v>
      </c>
      <c r="J6" s="65"/>
      <c r="K6" s="2" t="s">
        <v>10</v>
      </c>
    </row>
    <row r="7" spans="1:11" ht="24" x14ac:dyDescent="0.25">
      <c r="A7" s="70">
        <f>TARIFAS_CATEGORIA!D5</f>
        <v>4.5</v>
      </c>
      <c r="B7" s="65"/>
      <c r="C7" s="87">
        <f>TARIFAS_CATEGORIA!E5</f>
        <v>3.4430824601049679</v>
      </c>
      <c r="D7" s="88"/>
      <c r="E7" s="70">
        <f>TARIFAS_CATEGORIA!F5</f>
        <v>3.5</v>
      </c>
      <c r="F7" s="65"/>
      <c r="G7" s="71">
        <f>ECONOMIA_PROPIETARIO!C22</f>
        <v>5393.2999998899995</v>
      </c>
      <c r="H7" s="65"/>
      <c r="I7" s="71">
        <f>ECONOMIA_PROPIETARIO!D22</f>
        <v>6220.3455098093345</v>
      </c>
      <c r="J7" s="65"/>
      <c r="K7" s="3">
        <f>MANTENIMIENTO_NISSAN!J55</f>
        <v>2840.1666666666665</v>
      </c>
    </row>
    <row r="8" spans="1:11" x14ac:dyDescent="0.25">
      <c r="A8" s="68" t="s">
        <v>11</v>
      </c>
      <c r="B8" s="65"/>
      <c r="C8" s="68" t="s">
        <v>12</v>
      </c>
      <c r="D8" s="65"/>
      <c r="E8" s="90" t="s">
        <v>562</v>
      </c>
      <c r="F8" s="65"/>
      <c r="G8" s="68" t="s">
        <v>13</v>
      </c>
      <c r="H8" s="65"/>
      <c r="I8" s="68" t="s">
        <v>14</v>
      </c>
      <c r="J8" s="65"/>
      <c r="K8" s="4" t="s">
        <v>15</v>
      </c>
    </row>
    <row r="10" spans="1:11" ht="23.25" customHeight="1" x14ac:dyDescent="0.25">
      <c r="A10" s="75" t="s">
        <v>16</v>
      </c>
      <c r="B10" s="65"/>
      <c r="C10" s="65"/>
      <c r="D10" s="65"/>
      <c r="E10" s="65"/>
      <c r="F10" s="65"/>
      <c r="G10" s="65"/>
      <c r="H10" s="65"/>
      <c r="I10" s="65"/>
      <c r="J10" s="65"/>
      <c r="K10" s="65"/>
    </row>
    <row r="12" spans="1:11" x14ac:dyDescent="0.25">
      <c r="A12" s="66" t="s">
        <v>17</v>
      </c>
      <c r="B12" s="67"/>
      <c r="C12" s="67"/>
      <c r="D12" s="67"/>
      <c r="E12" s="67"/>
      <c r="G12" s="66" t="s">
        <v>18</v>
      </c>
      <c r="H12" s="67"/>
      <c r="I12" s="67"/>
      <c r="J12" s="67"/>
      <c r="K12" s="67"/>
    </row>
    <row r="13" spans="1:11" x14ac:dyDescent="0.25">
      <c r="A13" s="5" t="s">
        <v>19</v>
      </c>
      <c r="B13" s="5" t="s">
        <v>20</v>
      </c>
      <c r="C13" s="5" t="s">
        <v>21</v>
      </c>
      <c r="D13" s="5" t="s">
        <v>22</v>
      </c>
      <c r="E13" s="5" t="s">
        <v>23</v>
      </c>
      <c r="G13" s="5" t="s">
        <v>24</v>
      </c>
      <c r="H13" s="5" t="s">
        <v>25</v>
      </c>
      <c r="I13" s="5" t="s">
        <v>26</v>
      </c>
      <c r="J13" s="5" t="s">
        <v>27</v>
      </c>
      <c r="K13" s="5" t="s">
        <v>28</v>
      </c>
    </row>
    <row r="14" spans="1:11" x14ac:dyDescent="0.25">
      <c r="A14" s="6" t="str">
        <f>TARIFAS_CATEGORIA!A5</f>
        <v>Adultos</v>
      </c>
      <c r="B14" s="7">
        <f>TARIFAS_CATEGORIA!B5</f>
        <v>0.57999999999999996</v>
      </c>
      <c r="C14" s="8">
        <f>TARIFAS_CATEGORIA!D5</f>
        <v>4.5</v>
      </c>
      <c r="D14" s="9">
        <f>TARIFAS_CATEGORIA!E5</f>
        <v>3.4430824601049679</v>
      </c>
      <c r="E14" s="8">
        <f>TARIFAS_CATEGORIA!F5</f>
        <v>3.5</v>
      </c>
      <c r="G14" s="6" t="s">
        <v>29</v>
      </c>
      <c r="H14" s="8">
        <f>COSTOS_OPERACION_COV!E6</f>
        <v>8154.1392419637104</v>
      </c>
      <c r="I14" s="7">
        <f>H14/$H$20</f>
        <v>0.43463191887782354</v>
      </c>
      <c r="J14" s="6" t="s">
        <v>30</v>
      </c>
      <c r="K14" s="10" t="s">
        <v>31</v>
      </c>
    </row>
    <row r="15" spans="1:11" x14ac:dyDescent="0.25">
      <c r="A15" s="6" t="str">
        <f>TARIFAS_CATEGORIA!A6</f>
        <v>Adultos mayores</v>
      </c>
      <c r="B15" s="7">
        <f>TARIFAS_CATEGORIA!B6</f>
        <v>7.0000000000000007E-2</v>
      </c>
      <c r="C15" s="8">
        <f>TARIFAS_CATEGORIA!D6</f>
        <v>3.5</v>
      </c>
      <c r="D15" s="9">
        <f>TARIFAS_CATEGORIA!E6</f>
        <v>2.6779530245260861</v>
      </c>
      <c r="E15" s="8">
        <f>TARIFAS_CATEGORIA!F6</f>
        <v>3</v>
      </c>
      <c r="G15" s="6" t="s">
        <v>32</v>
      </c>
      <c r="H15" s="8">
        <f>COSTOS_OPERACION_COV!E7</f>
        <v>713.94312181986663</v>
      </c>
      <c r="I15" s="7">
        <f>H15/$H$20</f>
        <v>3.8054595316361579E-2</v>
      </c>
      <c r="J15" s="6" t="s">
        <v>30</v>
      </c>
      <c r="K15" s="10" t="s">
        <v>31</v>
      </c>
    </row>
    <row r="16" spans="1:11" x14ac:dyDescent="0.25">
      <c r="A16" s="6" t="str">
        <f>TARIFAS_CATEGORIA!A7</f>
        <v>Universitarios</v>
      </c>
      <c r="B16" s="7">
        <f>TARIFAS_CATEGORIA!B7</f>
        <v>0.18</v>
      </c>
      <c r="C16" s="8">
        <f>TARIFAS_CATEGORIA!D7</f>
        <v>2.5</v>
      </c>
      <c r="D16" s="9">
        <f>TARIFAS_CATEGORIA!E7</f>
        <v>1.9128235889472043</v>
      </c>
      <c r="E16" s="8">
        <f>TARIFAS_CATEGORIA!F7</f>
        <v>2</v>
      </c>
      <c r="G16" s="6" t="s">
        <v>33</v>
      </c>
      <c r="H16" s="8">
        <f>COSTOS_OPERACION_COV!E11</f>
        <v>2126.2235448468</v>
      </c>
      <c r="I16" s="7">
        <f>H16/$H$20</f>
        <v>0.11333196451982853</v>
      </c>
      <c r="J16" s="6" t="s">
        <v>34</v>
      </c>
      <c r="K16" s="10" t="s">
        <v>31</v>
      </c>
    </row>
    <row r="17" spans="1:11" x14ac:dyDescent="0.25">
      <c r="A17" s="6" t="str">
        <f>TARIFAS_CATEGORIA!A8</f>
        <v>Colegiales</v>
      </c>
      <c r="B17" s="7">
        <f>TARIFAS_CATEGORIA!B8</f>
        <v>0.1</v>
      </c>
      <c r="C17" s="8">
        <f>TARIFAS_CATEGORIA!D8</f>
        <v>1.5</v>
      </c>
      <c r="D17" s="9">
        <f>TARIFAS_CATEGORIA!E8</f>
        <v>1.1476941533683225</v>
      </c>
      <c r="E17" s="8">
        <f>TARIFAS_CATEGORIA!F8</f>
        <v>1.5</v>
      </c>
      <c r="G17" s="6" t="s">
        <v>35</v>
      </c>
      <c r="H17" s="8">
        <f>COSTOS_OPERACION_COV!E12+COSTOS_OPERACION_COV!E13</f>
        <v>3574.9999998900003</v>
      </c>
      <c r="I17" s="7">
        <f>H17/$H$20</f>
        <v>0.19055464517260506</v>
      </c>
      <c r="J17" s="6" t="s">
        <v>34</v>
      </c>
      <c r="K17" s="10" t="s">
        <v>31</v>
      </c>
    </row>
    <row r="18" spans="1:11" x14ac:dyDescent="0.25">
      <c r="A18" s="6" t="str">
        <f>TARIFAS_CATEGORIA!A9</f>
        <v>Escolares</v>
      </c>
      <c r="B18" s="7">
        <f>TARIFAS_CATEGORIA!B9</f>
        <v>0.05</v>
      </c>
      <c r="C18" s="8">
        <f>TARIFAS_CATEGORIA!D9</f>
        <v>1</v>
      </c>
      <c r="D18" s="9">
        <f>TARIFAS_CATEGORIA!E9</f>
        <v>0.7651294355788818</v>
      </c>
      <c r="E18" s="8">
        <f>TARIFAS_CATEGORIA!F9</f>
        <v>1</v>
      </c>
      <c r="G18" s="6" t="s">
        <v>36</v>
      </c>
      <c r="H18" s="8">
        <f>SUM(COSTOS_OPERACION_COV!E14:E20)</f>
        <v>720.41666666666674</v>
      </c>
      <c r="I18" s="7">
        <f>H18/$H$20</f>
        <v>3.8399648195054974E-2</v>
      </c>
      <c r="J18" s="6" t="s">
        <v>34</v>
      </c>
      <c r="K18" s="10" t="s">
        <v>31</v>
      </c>
    </row>
    <row r="19" spans="1:11" x14ac:dyDescent="0.25">
      <c r="A19" s="6" t="str">
        <f>TARIFAS_CATEGORIA!A10</f>
        <v>Discapacidad / menores de 5</v>
      </c>
      <c r="B19" s="7">
        <f>TARIFAS_CATEGORIA!B10</f>
        <v>0.02</v>
      </c>
      <c r="C19" s="8">
        <f>TARIFAS_CATEGORIA!D10</f>
        <v>0</v>
      </c>
      <c r="D19" s="9">
        <f>TARIFAS_CATEGORIA!E10</f>
        <v>0</v>
      </c>
      <c r="E19" s="8">
        <f>TARIFAS_CATEGORIA!F10</f>
        <v>0</v>
      </c>
      <c r="G19" s="6" t="s">
        <v>37</v>
      </c>
      <c r="H19" s="8">
        <f>COSTOS_OPERACION_COV!E28</f>
        <v>3471.3</v>
      </c>
      <c r="I19" s="7">
        <f>H19/$H$20</f>
        <v>0.18502722791832643</v>
      </c>
      <c r="J19" s="6" t="s">
        <v>38</v>
      </c>
      <c r="K19" s="10" t="s">
        <v>31</v>
      </c>
    </row>
    <row r="20" spans="1:11" x14ac:dyDescent="0.25">
      <c r="A20" s="11" t="s">
        <v>39</v>
      </c>
      <c r="B20" s="12">
        <f>TARIFAS_CATEGORIA!B11</f>
        <v>0.99999999999999989</v>
      </c>
      <c r="C20" s="13">
        <f>TARIFAS_CATEGORIA!D11</f>
        <v>3.5049999999999994</v>
      </c>
      <c r="D20" s="14">
        <f>TARIFAS_CATEGORIA!E11</f>
        <v>2.68177867170398</v>
      </c>
      <c r="E20" s="13">
        <f>TARIFAS_CATEGORIA!F11</f>
        <v>2.7999999999999994</v>
      </c>
      <c r="G20" s="11" t="s">
        <v>40</v>
      </c>
      <c r="H20" s="15">
        <f>COSTOS_OPERACION_COV!E30</f>
        <v>18761.022575187042</v>
      </c>
      <c r="I20" s="89" t="s">
        <v>41</v>
      </c>
      <c r="J20" s="16" t="s">
        <v>42</v>
      </c>
      <c r="K20" s="17" t="s">
        <v>43</v>
      </c>
    </row>
    <row r="22" spans="1:11" x14ac:dyDescent="0.25">
      <c r="A22" s="66" t="s">
        <v>44</v>
      </c>
      <c r="B22" s="67"/>
      <c r="C22" s="67"/>
      <c r="D22" s="67"/>
      <c r="E22" s="67"/>
      <c r="G22" s="66" t="s">
        <v>45</v>
      </c>
      <c r="H22" s="67"/>
      <c r="I22" s="67"/>
      <c r="J22" s="67"/>
      <c r="K22" s="67"/>
    </row>
    <row r="23" spans="1:11" x14ac:dyDescent="0.25">
      <c r="A23" s="5" t="s">
        <v>46</v>
      </c>
      <c r="B23" s="5" t="s">
        <v>47</v>
      </c>
      <c r="C23" s="5" t="s">
        <v>48</v>
      </c>
      <c r="D23" s="5" t="s">
        <v>49</v>
      </c>
      <c r="E23" s="5" t="s">
        <v>50</v>
      </c>
      <c r="G23" s="5" t="s">
        <v>51</v>
      </c>
      <c r="H23" s="5" t="s">
        <v>52</v>
      </c>
      <c r="I23" s="5" t="s">
        <v>53</v>
      </c>
      <c r="J23" s="5" t="s">
        <v>54</v>
      </c>
      <c r="K23" s="5" t="s">
        <v>55</v>
      </c>
    </row>
    <row r="24" spans="1:11" x14ac:dyDescent="0.25">
      <c r="A24" s="6" t="s">
        <v>56</v>
      </c>
      <c r="B24" s="8">
        <f>ECONOMIA_PROPIETARIO!B8</f>
        <v>24520.06379939209</v>
      </c>
      <c r="C24" s="8">
        <f>ECONOMIA_PROPIETARIO!C8</f>
        <v>18761.022575187042</v>
      </c>
      <c r="D24" s="8">
        <f>ECONOMIA_PROPIETARIO!D8</f>
        <v>19588.068085106377</v>
      </c>
      <c r="E24" s="6" t="s">
        <v>57</v>
      </c>
      <c r="G24" s="6" t="s">
        <v>58</v>
      </c>
      <c r="H24" s="18">
        <f>SUPUESTOS_PARAMETROS!B15</f>
        <v>3</v>
      </c>
      <c r="I24" s="19" t="s">
        <v>59</v>
      </c>
      <c r="J24" s="19" t="s">
        <v>60</v>
      </c>
      <c r="K24" s="6" t="s">
        <v>61</v>
      </c>
    </row>
    <row r="25" spans="1:11" x14ac:dyDescent="0.25">
      <c r="A25" s="6" t="s">
        <v>62</v>
      </c>
      <c r="B25" s="8">
        <f>ECONOMIA_PROPIETARIO!B13</f>
        <v>15289.722575187043</v>
      </c>
      <c r="C25" s="8">
        <f>ECONOMIA_PROPIETARIO!C13</f>
        <v>15289.722575187043</v>
      </c>
      <c r="D25" s="8">
        <f>ECONOMIA_PROPIETARIO!D13</f>
        <v>15289.722575187043</v>
      </c>
      <c r="E25" s="6" t="s">
        <v>63</v>
      </c>
      <c r="G25" s="6" t="s">
        <v>64</v>
      </c>
      <c r="H25" s="8">
        <f>RENTABILIDAD_32_RUTAS!E4</f>
        <v>82066.486510297516</v>
      </c>
      <c r="I25" s="19" t="s">
        <v>65</v>
      </c>
      <c r="J25" s="19" t="s">
        <v>66</v>
      </c>
      <c r="K25" s="6" t="s">
        <v>67</v>
      </c>
    </row>
    <row r="26" spans="1:11" x14ac:dyDescent="0.25">
      <c r="A26" s="6" t="s">
        <v>68</v>
      </c>
      <c r="B26" s="8">
        <f>ECONOMIA_PROPIETARIO!B17</f>
        <v>1653</v>
      </c>
      <c r="C26" s="8">
        <f>ECONOMIA_PROPIETARIO!C17</f>
        <v>1653</v>
      </c>
      <c r="D26" s="8">
        <f>ECONOMIA_PROPIETARIO!D17</f>
        <v>1653</v>
      </c>
      <c r="E26" s="6" t="s">
        <v>69</v>
      </c>
      <c r="G26" s="6" t="s">
        <v>70</v>
      </c>
      <c r="H26" s="8">
        <f>SUPUESTOS_PARAMETROS!B12</f>
        <v>82475</v>
      </c>
      <c r="I26" s="19" t="s">
        <v>65</v>
      </c>
      <c r="J26" s="19" t="s">
        <v>71</v>
      </c>
      <c r="K26" s="6" t="s">
        <v>72</v>
      </c>
    </row>
    <row r="27" spans="1:11" x14ac:dyDescent="0.25">
      <c r="A27" s="6" t="s">
        <v>73</v>
      </c>
      <c r="B27" s="8">
        <f>ECONOMIA_PROPIETARIO!B19</f>
        <v>1818.3</v>
      </c>
      <c r="C27" s="8">
        <f>ECONOMIA_PROPIETARIO!C19</f>
        <v>1818.3</v>
      </c>
      <c r="D27" s="8">
        <f>ECONOMIA_PROPIETARIO!D19</f>
        <v>1818.3</v>
      </c>
      <c r="E27" s="6" t="s">
        <v>74</v>
      </c>
      <c r="G27" s="6" t="s">
        <v>75</v>
      </c>
      <c r="H27" s="9">
        <f>RENTABILIDAD_32_RUTAS!K4</f>
        <v>1.0049778357411612</v>
      </c>
      <c r="I27" s="19" t="s">
        <v>76</v>
      </c>
      <c r="J27" s="10" t="s">
        <v>77</v>
      </c>
      <c r="K27" s="6" t="s">
        <v>78</v>
      </c>
    </row>
    <row r="28" spans="1:11" x14ac:dyDescent="0.25">
      <c r="A28" s="6" t="s">
        <v>79</v>
      </c>
      <c r="B28" s="8">
        <f>ECONOMIA_PROPIETARIO!B20</f>
        <v>5759.041224205047</v>
      </c>
      <c r="C28" s="8">
        <f>ECONOMIA_PROPIETARIO!C20</f>
        <v>0</v>
      </c>
      <c r="D28" s="8">
        <f>ECONOMIA_PROPIETARIO!D20</f>
        <v>827.04550991933434</v>
      </c>
      <c r="E28" s="6" t="s">
        <v>80</v>
      </c>
      <c r="G28" s="6" t="s">
        <v>81</v>
      </c>
      <c r="H28" s="7">
        <f>RENTABILIDAD_32_RUTAS!K4-1</f>
        <v>4.977835741161174E-3</v>
      </c>
      <c r="I28" s="19" t="s">
        <v>82</v>
      </c>
      <c r="J28" s="10" t="s">
        <v>77</v>
      </c>
      <c r="K28" s="6" t="s">
        <v>83</v>
      </c>
    </row>
    <row r="29" spans="1:11" x14ac:dyDescent="0.25">
      <c r="A29" s="6" t="s">
        <v>84</v>
      </c>
      <c r="B29" s="8">
        <f>ECONOMIA_PROPIETARIO!B21</f>
        <v>3574.9999998900003</v>
      </c>
      <c r="C29" s="8">
        <f>ECONOMIA_PROPIETARIO!C21</f>
        <v>3574.9999998900003</v>
      </c>
      <c r="D29" s="8">
        <f>ECONOMIA_PROPIETARIO!D21</f>
        <v>3574.9999998900003</v>
      </c>
      <c r="E29" s="6" t="s">
        <v>85</v>
      </c>
      <c r="G29" s="6" t="s">
        <v>86</v>
      </c>
      <c r="H29" s="9">
        <f>SUPUESTOS_PARAMETROS!B20</f>
        <v>3.2199939375568354</v>
      </c>
      <c r="I29" s="19" t="s">
        <v>87</v>
      </c>
      <c r="J29" s="19" t="s">
        <v>71</v>
      </c>
      <c r="K29" s="6" t="s">
        <v>88</v>
      </c>
    </row>
    <row r="30" spans="1:11" x14ac:dyDescent="0.25">
      <c r="A30" s="20" t="s">
        <v>89</v>
      </c>
      <c r="B30" s="21">
        <f>ECONOMIA_PROPIETARIO!B22</f>
        <v>11152.341224095047</v>
      </c>
      <c r="C30" s="21">
        <f>ECONOMIA_PROPIETARIO!C22</f>
        <v>5393.2999998899995</v>
      </c>
      <c r="D30" s="21">
        <f>ECONOMIA_PROPIETARIO!D22</f>
        <v>6220.3455098093345</v>
      </c>
      <c r="E30" s="20" t="s">
        <v>90</v>
      </c>
      <c r="G30" s="6" t="s">
        <v>91</v>
      </c>
      <c r="H30" s="22">
        <v>1</v>
      </c>
      <c r="I30" s="19" t="s">
        <v>92</v>
      </c>
      <c r="J30" s="19" t="s">
        <v>93</v>
      </c>
      <c r="K30" s="6" t="s">
        <v>94</v>
      </c>
    </row>
    <row r="31" spans="1:11" x14ac:dyDescent="0.25">
      <c r="G31" s="6" t="s">
        <v>95</v>
      </c>
      <c r="H31" s="22">
        <v>7</v>
      </c>
      <c r="I31" s="19" t="s">
        <v>92</v>
      </c>
      <c r="J31" s="19" t="s">
        <v>96</v>
      </c>
      <c r="K31" s="6" t="s">
        <v>97</v>
      </c>
    </row>
  </sheetData>
  <mergeCells count="25">
    <mergeCell ref="D4:G4"/>
    <mergeCell ref="I8:J8"/>
    <mergeCell ref="A8:B8"/>
    <mergeCell ref="A22:E22"/>
    <mergeCell ref="C8:D8"/>
    <mergeCell ref="C7:D7"/>
    <mergeCell ref="E7:F7"/>
    <mergeCell ref="A10:K10"/>
    <mergeCell ref="G22:K22"/>
    <mergeCell ref="C6:D6"/>
    <mergeCell ref="I6:J6"/>
    <mergeCell ref="G12:K12"/>
    <mergeCell ref="G8:H8"/>
    <mergeCell ref="A1:K1"/>
    <mergeCell ref="E8:F8"/>
    <mergeCell ref="A6:B6"/>
    <mergeCell ref="A7:B7"/>
    <mergeCell ref="G7:H7"/>
    <mergeCell ref="I7:J7"/>
    <mergeCell ref="G6:H6"/>
    <mergeCell ref="A4:C4"/>
    <mergeCell ref="H4:K4"/>
    <mergeCell ref="A12:E12"/>
    <mergeCell ref="E6:F6"/>
    <mergeCell ref="A2:K2"/>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5"/>
  <sheetViews>
    <sheetView workbookViewId="0">
      <selection activeCell="D4" sqref="D4"/>
    </sheetView>
  </sheetViews>
  <sheetFormatPr baseColWidth="10" defaultColWidth="9.140625" defaultRowHeight="15" x14ac:dyDescent="0.25"/>
  <cols>
    <col min="1" max="1" width="12" customWidth="1"/>
    <col min="2" max="2" width="34.140625" customWidth="1"/>
    <col min="3" max="3" width="10.42578125" customWidth="1"/>
    <col min="4" max="10" width="12" customWidth="1"/>
    <col min="11" max="11" width="32" customWidth="1"/>
    <col min="12" max="12" width="12" customWidth="1"/>
  </cols>
  <sheetData>
    <row r="1" spans="1:12" ht="18.75" x14ac:dyDescent="0.25">
      <c r="A1" s="69" t="s">
        <v>98</v>
      </c>
      <c r="B1" s="67"/>
      <c r="C1" s="67"/>
      <c r="D1" s="67"/>
      <c r="E1" s="67"/>
      <c r="F1" s="67"/>
      <c r="G1" s="67"/>
      <c r="H1" s="67"/>
      <c r="I1" s="67"/>
      <c r="J1" s="67"/>
      <c r="K1" s="67"/>
      <c r="L1" s="67"/>
    </row>
    <row r="2" spans="1:12" x14ac:dyDescent="0.25">
      <c r="A2" s="74" t="s">
        <v>99</v>
      </c>
      <c r="B2" s="67"/>
      <c r="C2" s="67"/>
      <c r="D2" s="67"/>
      <c r="E2" s="67"/>
      <c r="F2" s="67"/>
      <c r="G2" s="67"/>
      <c r="H2" s="67"/>
      <c r="I2" s="67"/>
      <c r="J2" s="67"/>
      <c r="K2" s="67"/>
      <c r="L2" s="67"/>
    </row>
    <row r="4" spans="1:12" ht="27" customHeight="1" x14ac:dyDescent="0.25">
      <c r="A4" s="5" t="s">
        <v>100</v>
      </c>
      <c r="B4" s="80" t="s">
        <v>101</v>
      </c>
      <c r="C4" s="80" t="s">
        <v>102</v>
      </c>
      <c r="D4" s="80" t="s">
        <v>103</v>
      </c>
      <c r="E4" s="80" t="s">
        <v>104</v>
      </c>
      <c r="F4" s="80" t="s">
        <v>53</v>
      </c>
      <c r="G4" s="80" t="s">
        <v>105</v>
      </c>
      <c r="H4" s="80" t="s">
        <v>106</v>
      </c>
      <c r="I4" s="80" t="s">
        <v>107</v>
      </c>
      <c r="J4" s="80" t="s">
        <v>108</v>
      </c>
      <c r="K4" s="80" t="s">
        <v>109</v>
      </c>
      <c r="L4" s="80" t="s">
        <v>110</v>
      </c>
    </row>
    <row r="5" spans="1:12" x14ac:dyDescent="0.25">
      <c r="A5" s="19">
        <v>1</v>
      </c>
      <c r="B5" s="6" t="s">
        <v>111</v>
      </c>
      <c r="C5" s="19" t="s">
        <v>112</v>
      </c>
      <c r="D5" s="8">
        <v>100</v>
      </c>
      <c r="E5" s="19">
        <v>2</v>
      </c>
      <c r="F5" s="19" t="s">
        <v>113</v>
      </c>
      <c r="G5" s="8">
        <v>60</v>
      </c>
      <c r="H5" s="8">
        <f>D5*E5+G5</f>
        <v>260</v>
      </c>
      <c r="I5" s="18">
        <v>1</v>
      </c>
      <c r="J5" s="8">
        <f t="shared" ref="J5:J36" si="0">H5/I5</f>
        <v>260</v>
      </c>
      <c r="K5" s="6" t="s">
        <v>114</v>
      </c>
      <c r="L5" s="22">
        <v>40000</v>
      </c>
    </row>
    <row r="6" spans="1:12" x14ac:dyDescent="0.25">
      <c r="A6" s="19">
        <v>2</v>
      </c>
      <c r="B6" s="6" t="s">
        <v>115</v>
      </c>
      <c r="C6" s="19" t="s">
        <v>112</v>
      </c>
      <c r="D6" s="8">
        <v>40</v>
      </c>
      <c r="E6" s="19">
        <v>12</v>
      </c>
      <c r="F6" s="19" t="s">
        <v>116</v>
      </c>
      <c r="G6" s="8">
        <v>0</v>
      </c>
      <c r="H6" s="8">
        <f>D6*E6+G6</f>
        <v>480</v>
      </c>
      <c r="I6" s="18">
        <v>0.08</v>
      </c>
      <c r="J6" s="8">
        <f t="shared" si="0"/>
        <v>6000</v>
      </c>
      <c r="K6" s="6" t="s">
        <v>117</v>
      </c>
      <c r="L6" s="22">
        <v>5000</v>
      </c>
    </row>
    <row r="7" spans="1:12" x14ac:dyDescent="0.25">
      <c r="A7" s="19">
        <v>3</v>
      </c>
      <c r="B7" s="6" t="s">
        <v>118</v>
      </c>
      <c r="C7" s="19" t="s">
        <v>112</v>
      </c>
      <c r="D7" s="8">
        <v>50</v>
      </c>
      <c r="E7" s="19">
        <v>2</v>
      </c>
      <c r="F7" s="19" t="s">
        <v>113</v>
      </c>
      <c r="G7" s="8">
        <v>0</v>
      </c>
      <c r="H7" s="8">
        <f>D7*E7+G7</f>
        <v>100</v>
      </c>
      <c r="I7" s="18">
        <v>0.08</v>
      </c>
      <c r="J7" s="8">
        <f t="shared" si="0"/>
        <v>1250</v>
      </c>
      <c r="K7" s="6" t="s">
        <v>117</v>
      </c>
      <c r="L7" s="22">
        <v>5000</v>
      </c>
    </row>
    <row r="8" spans="1:12" x14ac:dyDescent="0.25">
      <c r="A8" s="19">
        <v>4</v>
      </c>
      <c r="B8" s="6" t="s">
        <v>119</v>
      </c>
      <c r="C8" s="19" t="s">
        <v>112</v>
      </c>
      <c r="D8" s="8">
        <v>220</v>
      </c>
      <c r="E8" s="19">
        <v>1</v>
      </c>
      <c r="F8" s="19" t="s">
        <v>120</v>
      </c>
      <c r="G8" s="8">
        <v>40</v>
      </c>
      <c r="H8" s="8">
        <f>D8+G8</f>
        <v>260</v>
      </c>
      <c r="I8" s="18">
        <v>2</v>
      </c>
      <c r="J8" s="8">
        <f t="shared" si="0"/>
        <v>130</v>
      </c>
      <c r="K8" s="6" t="s">
        <v>121</v>
      </c>
      <c r="L8" s="22">
        <v>60000</v>
      </c>
    </row>
    <row r="9" spans="1:12" x14ac:dyDescent="0.25">
      <c r="A9" s="19">
        <v>5</v>
      </c>
      <c r="B9" s="6" t="s">
        <v>122</v>
      </c>
      <c r="C9" s="19" t="s">
        <v>112</v>
      </c>
      <c r="D9" s="8">
        <v>50</v>
      </c>
      <c r="E9" s="19">
        <v>6</v>
      </c>
      <c r="F9" s="19" t="s">
        <v>116</v>
      </c>
      <c r="G9" s="8">
        <v>0</v>
      </c>
      <c r="H9" s="8">
        <f>D9*E9+G9</f>
        <v>300</v>
      </c>
      <c r="I9" s="18">
        <v>1</v>
      </c>
      <c r="J9" s="8">
        <f t="shared" si="0"/>
        <v>300</v>
      </c>
      <c r="K9" s="6" t="s">
        <v>117</v>
      </c>
      <c r="L9" s="22">
        <v>40000</v>
      </c>
    </row>
    <row r="10" spans="1:12" x14ac:dyDescent="0.25">
      <c r="A10" s="19">
        <v>6</v>
      </c>
      <c r="B10" s="6" t="s">
        <v>123</v>
      </c>
      <c r="C10" s="19" t="s">
        <v>112</v>
      </c>
      <c r="D10" s="8">
        <v>200</v>
      </c>
      <c r="E10" s="19">
        <v>1</v>
      </c>
      <c r="F10" s="19" t="s">
        <v>120</v>
      </c>
      <c r="G10" s="8">
        <v>100</v>
      </c>
      <c r="H10" s="8">
        <f t="shared" ref="H10:H19" si="1">D10+G10</f>
        <v>300</v>
      </c>
      <c r="I10" s="18">
        <v>2</v>
      </c>
      <c r="J10" s="8">
        <f t="shared" si="0"/>
        <v>150</v>
      </c>
      <c r="K10" s="6"/>
      <c r="L10" s="22">
        <v>80000</v>
      </c>
    </row>
    <row r="11" spans="1:12" x14ac:dyDescent="0.25">
      <c r="A11" s="19">
        <v>7</v>
      </c>
      <c r="B11" s="6" t="s">
        <v>124</v>
      </c>
      <c r="C11" s="19" t="s">
        <v>112</v>
      </c>
      <c r="D11" s="8">
        <v>80</v>
      </c>
      <c r="E11" s="19">
        <v>1</v>
      </c>
      <c r="F11" s="19" t="s">
        <v>120</v>
      </c>
      <c r="G11" s="8">
        <v>0</v>
      </c>
      <c r="H11" s="8">
        <f t="shared" si="1"/>
        <v>80</v>
      </c>
      <c r="I11" s="18">
        <v>0.08</v>
      </c>
      <c r="J11" s="8">
        <f t="shared" si="0"/>
        <v>1000</v>
      </c>
      <c r="K11" s="6" t="s">
        <v>117</v>
      </c>
      <c r="L11" s="22">
        <v>5000</v>
      </c>
    </row>
    <row r="12" spans="1:12" x14ac:dyDescent="0.25">
      <c r="A12" s="19">
        <v>8</v>
      </c>
      <c r="B12" s="6" t="s">
        <v>125</v>
      </c>
      <c r="C12" s="19" t="s">
        <v>112</v>
      </c>
      <c r="D12" s="8">
        <v>210</v>
      </c>
      <c r="E12" s="19">
        <v>1</v>
      </c>
      <c r="F12" s="19" t="s">
        <v>120</v>
      </c>
      <c r="G12" s="8">
        <v>0</v>
      </c>
      <c r="H12" s="8">
        <f t="shared" si="1"/>
        <v>210</v>
      </c>
      <c r="I12" s="18">
        <v>0.5</v>
      </c>
      <c r="J12" s="8">
        <f t="shared" si="0"/>
        <v>420</v>
      </c>
      <c r="K12" s="6" t="s">
        <v>117</v>
      </c>
      <c r="L12" s="22">
        <v>12000</v>
      </c>
    </row>
    <row r="13" spans="1:12" x14ac:dyDescent="0.25">
      <c r="A13" s="19">
        <v>9</v>
      </c>
      <c r="B13" s="6" t="s">
        <v>126</v>
      </c>
      <c r="C13" s="19" t="s">
        <v>112</v>
      </c>
      <c r="D13" s="8">
        <v>7000</v>
      </c>
      <c r="E13" s="19">
        <v>1</v>
      </c>
      <c r="F13" s="19" t="s">
        <v>127</v>
      </c>
      <c r="G13" s="8">
        <v>3500</v>
      </c>
      <c r="H13" s="8">
        <f t="shared" si="1"/>
        <v>10500</v>
      </c>
      <c r="I13" s="18">
        <v>4</v>
      </c>
      <c r="J13" s="8">
        <f t="shared" si="0"/>
        <v>2625</v>
      </c>
      <c r="K13" s="6" t="s">
        <v>128</v>
      </c>
      <c r="L13" s="22">
        <v>200000</v>
      </c>
    </row>
    <row r="14" spans="1:12" x14ac:dyDescent="0.25">
      <c r="A14" s="19">
        <v>10</v>
      </c>
      <c r="B14" s="6" t="s">
        <v>129</v>
      </c>
      <c r="C14" s="19" t="s">
        <v>130</v>
      </c>
      <c r="D14" s="8">
        <v>230</v>
      </c>
      <c r="E14" s="19">
        <v>1</v>
      </c>
      <c r="F14" s="19" t="s">
        <v>120</v>
      </c>
      <c r="G14" s="8">
        <v>230</v>
      </c>
      <c r="H14" s="8">
        <f t="shared" si="1"/>
        <v>460</v>
      </c>
      <c r="I14" s="18">
        <v>0.25</v>
      </c>
      <c r="J14" s="8">
        <f t="shared" si="0"/>
        <v>1840</v>
      </c>
      <c r="K14" s="6"/>
      <c r="L14" s="22">
        <v>25000</v>
      </c>
    </row>
    <row r="15" spans="1:12" x14ac:dyDescent="0.25">
      <c r="A15" s="19">
        <v>11</v>
      </c>
      <c r="B15" s="6" t="s">
        <v>131</v>
      </c>
      <c r="C15" s="19" t="s">
        <v>112</v>
      </c>
      <c r="D15" s="8">
        <v>550</v>
      </c>
      <c r="E15" s="19">
        <v>1</v>
      </c>
      <c r="F15" s="19" t="s">
        <v>132</v>
      </c>
      <c r="G15" s="8">
        <v>600</v>
      </c>
      <c r="H15" s="8">
        <f t="shared" si="1"/>
        <v>1150</v>
      </c>
      <c r="I15" s="18">
        <v>1</v>
      </c>
      <c r="J15" s="8">
        <f t="shared" si="0"/>
        <v>1150</v>
      </c>
      <c r="K15" s="6"/>
      <c r="L15" s="22">
        <v>60000</v>
      </c>
    </row>
    <row r="16" spans="1:12" x14ac:dyDescent="0.25">
      <c r="A16" s="19">
        <v>12</v>
      </c>
      <c r="B16" s="6" t="s">
        <v>133</v>
      </c>
      <c r="C16" s="19" t="s">
        <v>112</v>
      </c>
      <c r="D16" s="8">
        <v>250</v>
      </c>
      <c r="E16" s="19">
        <v>1</v>
      </c>
      <c r="F16" s="19" t="s">
        <v>132</v>
      </c>
      <c r="G16" s="8">
        <v>0</v>
      </c>
      <c r="H16" s="8">
        <f t="shared" si="1"/>
        <v>250</v>
      </c>
      <c r="I16" s="18">
        <v>2</v>
      </c>
      <c r="J16" s="8">
        <f t="shared" si="0"/>
        <v>125</v>
      </c>
      <c r="K16" s="6"/>
      <c r="L16" s="22">
        <v>40000</v>
      </c>
    </row>
    <row r="17" spans="1:12" x14ac:dyDescent="0.25">
      <c r="A17" s="19">
        <v>13</v>
      </c>
      <c r="B17" s="6" t="s">
        <v>134</v>
      </c>
      <c r="C17" s="19" t="s">
        <v>112</v>
      </c>
      <c r="D17" s="8">
        <v>250</v>
      </c>
      <c r="E17" s="19">
        <v>1</v>
      </c>
      <c r="F17" s="19" t="s">
        <v>132</v>
      </c>
      <c r="G17" s="8">
        <v>0</v>
      </c>
      <c r="H17" s="8">
        <f t="shared" si="1"/>
        <v>250</v>
      </c>
      <c r="I17" s="18">
        <v>2</v>
      </c>
      <c r="J17" s="8">
        <f t="shared" si="0"/>
        <v>125</v>
      </c>
      <c r="K17" s="6"/>
      <c r="L17" s="22">
        <v>40000</v>
      </c>
    </row>
    <row r="18" spans="1:12" x14ac:dyDescent="0.25">
      <c r="A18" s="19">
        <v>14</v>
      </c>
      <c r="B18" s="6" t="s">
        <v>135</v>
      </c>
      <c r="C18" s="19" t="s">
        <v>112</v>
      </c>
      <c r="D18" s="8">
        <v>350</v>
      </c>
      <c r="E18" s="19">
        <v>1</v>
      </c>
      <c r="F18" s="19" t="s">
        <v>132</v>
      </c>
      <c r="G18" s="8">
        <v>0</v>
      </c>
      <c r="H18" s="8">
        <f t="shared" si="1"/>
        <v>350</v>
      </c>
      <c r="I18" s="18">
        <v>2</v>
      </c>
      <c r="J18" s="8">
        <f t="shared" si="0"/>
        <v>175</v>
      </c>
      <c r="K18" s="6"/>
      <c r="L18" s="22">
        <v>40000</v>
      </c>
    </row>
    <row r="19" spans="1:12" x14ac:dyDescent="0.25">
      <c r="A19" s="19">
        <v>15</v>
      </c>
      <c r="B19" s="6" t="s">
        <v>136</v>
      </c>
      <c r="C19" s="19" t="s">
        <v>112</v>
      </c>
      <c r="D19" s="8">
        <v>60</v>
      </c>
      <c r="E19" s="19">
        <v>2</v>
      </c>
      <c r="F19" s="19" t="s">
        <v>132</v>
      </c>
      <c r="G19" s="8">
        <v>0</v>
      </c>
      <c r="H19" s="8">
        <f t="shared" si="1"/>
        <v>60</v>
      </c>
      <c r="I19" s="18">
        <v>1</v>
      </c>
      <c r="J19" s="8">
        <f t="shared" si="0"/>
        <v>60</v>
      </c>
      <c r="K19" s="6"/>
      <c r="L19" s="22">
        <v>10000</v>
      </c>
    </row>
    <row r="20" spans="1:12" x14ac:dyDescent="0.25">
      <c r="A20" s="19">
        <v>16</v>
      </c>
      <c r="B20" s="6" t="s">
        <v>137</v>
      </c>
      <c r="C20" s="19" t="s">
        <v>112</v>
      </c>
      <c r="D20" s="8">
        <v>80</v>
      </c>
      <c r="E20" s="19">
        <v>6</v>
      </c>
      <c r="F20" s="19" t="s">
        <v>138</v>
      </c>
      <c r="G20" s="8">
        <v>0</v>
      </c>
      <c r="H20" s="8">
        <f>D20*E20+G20</f>
        <v>480</v>
      </c>
      <c r="I20" s="18">
        <v>2</v>
      </c>
      <c r="J20" s="8">
        <f t="shared" si="0"/>
        <v>240</v>
      </c>
      <c r="K20" s="6" t="s">
        <v>117</v>
      </c>
      <c r="L20" s="22">
        <v>50000</v>
      </c>
    </row>
    <row r="21" spans="1:12" x14ac:dyDescent="0.25">
      <c r="A21" s="19">
        <v>18</v>
      </c>
      <c r="B21" s="6" t="s">
        <v>139</v>
      </c>
      <c r="C21" s="19" t="s">
        <v>112</v>
      </c>
      <c r="D21" s="8">
        <v>80</v>
      </c>
      <c r="E21" s="19">
        <v>6</v>
      </c>
      <c r="F21" s="19" t="s">
        <v>138</v>
      </c>
      <c r="G21" s="8">
        <v>0</v>
      </c>
      <c r="H21" s="8">
        <f>D21*E21+G21</f>
        <v>480</v>
      </c>
      <c r="I21" s="18">
        <v>2</v>
      </c>
      <c r="J21" s="8">
        <f t="shared" si="0"/>
        <v>240</v>
      </c>
      <c r="K21" s="6" t="s">
        <v>117</v>
      </c>
      <c r="L21" s="22">
        <v>50000</v>
      </c>
    </row>
    <row r="22" spans="1:12" x14ac:dyDescent="0.25">
      <c r="A22" s="19">
        <v>19</v>
      </c>
      <c r="B22" s="6" t="s">
        <v>140</v>
      </c>
      <c r="C22" s="19" t="s">
        <v>112</v>
      </c>
      <c r="D22" s="8">
        <v>200</v>
      </c>
      <c r="E22" s="19">
        <v>2</v>
      </c>
      <c r="F22" s="19" t="s">
        <v>120</v>
      </c>
      <c r="G22" s="8">
        <v>150</v>
      </c>
      <c r="H22" s="8">
        <f>D22+G22</f>
        <v>350</v>
      </c>
      <c r="I22" s="18">
        <v>1</v>
      </c>
      <c r="J22" s="8">
        <f t="shared" si="0"/>
        <v>350</v>
      </c>
      <c r="K22" s="6"/>
      <c r="L22" s="22">
        <v>30000</v>
      </c>
    </row>
    <row r="23" spans="1:12" x14ac:dyDescent="0.25">
      <c r="A23" s="19">
        <v>20</v>
      </c>
      <c r="B23" s="6" t="s">
        <v>141</v>
      </c>
      <c r="C23" s="19" t="s">
        <v>112</v>
      </c>
      <c r="D23" s="8">
        <v>5500</v>
      </c>
      <c r="E23" s="19">
        <v>1</v>
      </c>
      <c r="F23" s="19" t="s">
        <v>113</v>
      </c>
      <c r="G23" s="8">
        <v>420</v>
      </c>
      <c r="H23" s="8">
        <f>D23+G23</f>
        <v>5920</v>
      </c>
      <c r="I23" s="18">
        <v>5</v>
      </c>
      <c r="J23" s="8">
        <f t="shared" si="0"/>
        <v>1184</v>
      </c>
      <c r="K23" s="6"/>
      <c r="L23" s="22">
        <v>150000</v>
      </c>
    </row>
    <row r="24" spans="1:12" x14ac:dyDescent="0.25">
      <c r="A24" s="19">
        <v>21</v>
      </c>
      <c r="B24" s="6" t="s">
        <v>142</v>
      </c>
      <c r="C24" s="19" t="s">
        <v>112</v>
      </c>
      <c r="D24" s="8">
        <v>1000</v>
      </c>
      <c r="E24" s="19">
        <v>1</v>
      </c>
      <c r="F24" s="19" t="s">
        <v>113</v>
      </c>
      <c r="G24" s="8">
        <v>0</v>
      </c>
      <c r="H24" s="8">
        <f>D24+G24</f>
        <v>1000</v>
      </c>
      <c r="I24" s="18">
        <v>5</v>
      </c>
      <c r="J24" s="8">
        <f t="shared" si="0"/>
        <v>200</v>
      </c>
      <c r="K24" s="6"/>
      <c r="L24" s="22">
        <v>150000</v>
      </c>
    </row>
    <row r="25" spans="1:12" x14ac:dyDescent="0.25">
      <c r="A25" s="19">
        <v>22</v>
      </c>
      <c r="B25" s="6" t="s">
        <v>143</v>
      </c>
      <c r="C25" s="19" t="s">
        <v>112</v>
      </c>
      <c r="D25" s="8">
        <v>400</v>
      </c>
      <c r="E25" s="19">
        <v>1</v>
      </c>
      <c r="F25" s="19" t="s">
        <v>144</v>
      </c>
      <c r="G25" s="8">
        <v>350</v>
      </c>
      <c r="H25" s="8">
        <f>D25+G25</f>
        <v>750</v>
      </c>
      <c r="I25" s="18">
        <v>2</v>
      </c>
      <c r="J25" s="8">
        <f t="shared" si="0"/>
        <v>375</v>
      </c>
      <c r="K25" s="6"/>
      <c r="L25" s="22">
        <v>100000</v>
      </c>
    </row>
    <row r="26" spans="1:12" x14ac:dyDescent="0.25">
      <c r="A26" s="19">
        <v>25</v>
      </c>
      <c r="B26" s="6" t="s">
        <v>145</v>
      </c>
      <c r="C26" s="19" t="s">
        <v>112</v>
      </c>
      <c r="D26" s="8">
        <v>340</v>
      </c>
      <c r="E26" s="19">
        <v>4</v>
      </c>
      <c r="F26" s="19" t="s">
        <v>113</v>
      </c>
      <c r="G26" s="8">
        <v>160</v>
      </c>
      <c r="H26" s="8">
        <f t="shared" ref="H26:H32" si="2">D26*E26+G26</f>
        <v>1520</v>
      </c>
      <c r="I26" s="18">
        <v>1</v>
      </c>
      <c r="J26" s="8">
        <f t="shared" si="0"/>
        <v>1520</v>
      </c>
      <c r="K26" s="6"/>
      <c r="L26" s="22">
        <v>65000</v>
      </c>
    </row>
    <row r="27" spans="1:12" x14ac:dyDescent="0.25">
      <c r="A27" s="19">
        <v>26</v>
      </c>
      <c r="B27" s="6" t="s">
        <v>146</v>
      </c>
      <c r="C27" s="19" t="s">
        <v>112</v>
      </c>
      <c r="D27" s="8">
        <v>280</v>
      </c>
      <c r="E27" s="19">
        <v>2</v>
      </c>
      <c r="F27" s="19" t="s">
        <v>113</v>
      </c>
      <c r="G27" s="8">
        <v>110</v>
      </c>
      <c r="H27" s="8">
        <f t="shared" si="2"/>
        <v>670</v>
      </c>
      <c r="I27" s="18">
        <v>2</v>
      </c>
      <c r="J27" s="8">
        <f t="shared" si="0"/>
        <v>335</v>
      </c>
      <c r="K27" s="6"/>
      <c r="L27" s="22">
        <v>25000</v>
      </c>
    </row>
    <row r="28" spans="1:12" x14ac:dyDescent="0.25">
      <c r="A28" s="19">
        <v>27</v>
      </c>
      <c r="B28" s="6" t="s">
        <v>147</v>
      </c>
      <c r="C28" s="19" t="s">
        <v>112</v>
      </c>
      <c r="D28" s="8">
        <v>70</v>
      </c>
      <c r="E28" s="19">
        <v>8</v>
      </c>
      <c r="F28" s="19" t="s">
        <v>113</v>
      </c>
      <c r="G28" s="8">
        <v>150</v>
      </c>
      <c r="H28" s="8">
        <f t="shared" si="2"/>
        <v>710</v>
      </c>
      <c r="I28" s="18">
        <v>2</v>
      </c>
      <c r="J28" s="8">
        <f t="shared" si="0"/>
        <v>355</v>
      </c>
      <c r="K28" s="6"/>
      <c r="L28" s="22">
        <v>20000</v>
      </c>
    </row>
    <row r="29" spans="1:12" x14ac:dyDescent="0.25">
      <c r="A29" s="19">
        <v>28</v>
      </c>
      <c r="B29" s="6" t="s">
        <v>148</v>
      </c>
      <c r="C29" s="19" t="s">
        <v>112</v>
      </c>
      <c r="D29" s="8">
        <v>300</v>
      </c>
      <c r="E29" s="19">
        <v>2</v>
      </c>
      <c r="F29" s="19" t="s">
        <v>113</v>
      </c>
      <c r="G29" s="8">
        <v>130</v>
      </c>
      <c r="H29" s="8">
        <f t="shared" si="2"/>
        <v>730</v>
      </c>
      <c r="I29" s="18">
        <v>1</v>
      </c>
      <c r="J29" s="8">
        <f t="shared" si="0"/>
        <v>730</v>
      </c>
      <c r="K29" s="6"/>
      <c r="L29" s="22">
        <v>100000</v>
      </c>
    </row>
    <row r="30" spans="1:12" x14ac:dyDescent="0.25">
      <c r="A30" s="19">
        <v>29</v>
      </c>
      <c r="B30" s="6" t="s">
        <v>149</v>
      </c>
      <c r="C30" s="19" t="s">
        <v>112</v>
      </c>
      <c r="D30" s="8">
        <v>40</v>
      </c>
      <c r="E30" s="19">
        <v>2</v>
      </c>
      <c r="F30" s="19" t="s">
        <v>113</v>
      </c>
      <c r="G30" s="8">
        <v>130</v>
      </c>
      <c r="H30" s="8">
        <f t="shared" si="2"/>
        <v>210</v>
      </c>
      <c r="I30" s="18">
        <v>1</v>
      </c>
      <c r="J30" s="8">
        <f t="shared" si="0"/>
        <v>210</v>
      </c>
      <c r="K30" s="6" t="s">
        <v>117</v>
      </c>
      <c r="L30" s="22">
        <v>50000</v>
      </c>
    </row>
    <row r="31" spans="1:12" x14ac:dyDescent="0.25">
      <c r="A31" s="19">
        <v>30</v>
      </c>
      <c r="B31" s="6" t="s">
        <v>150</v>
      </c>
      <c r="C31" s="19" t="s">
        <v>112</v>
      </c>
      <c r="D31" s="8">
        <v>250</v>
      </c>
      <c r="E31" s="19">
        <v>2</v>
      </c>
      <c r="F31" s="19" t="s">
        <v>113</v>
      </c>
      <c r="G31" s="8">
        <v>50</v>
      </c>
      <c r="H31" s="8">
        <f t="shared" si="2"/>
        <v>550</v>
      </c>
      <c r="I31" s="18">
        <v>2</v>
      </c>
      <c r="J31" s="8">
        <f t="shared" si="0"/>
        <v>275</v>
      </c>
      <c r="K31" s="6"/>
      <c r="L31" s="22">
        <v>25000</v>
      </c>
    </row>
    <row r="32" spans="1:12" x14ac:dyDescent="0.25">
      <c r="A32" s="19">
        <v>31</v>
      </c>
      <c r="B32" s="6" t="s">
        <v>151</v>
      </c>
      <c r="C32" s="19" t="s">
        <v>112</v>
      </c>
      <c r="D32" s="8">
        <v>60</v>
      </c>
      <c r="E32" s="19">
        <v>4</v>
      </c>
      <c r="F32" s="19" t="s">
        <v>113</v>
      </c>
      <c r="G32" s="8">
        <v>40</v>
      </c>
      <c r="H32" s="8">
        <f t="shared" si="2"/>
        <v>280</v>
      </c>
      <c r="I32" s="18">
        <v>2</v>
      </c>
      <c r="J32" s="8">
        <f t="shared" si="0"/>
        <v>140</v>
      </c>
      <c r="K32" s="6"/>
      <c r="L32" s="22">
        <v>65000</v>
      </c>
    </row>
    <row r="33" spans="1:12" x14ac:dyDescent="0.25">
      <c r="A33" s="19">
        <v>32</v>
      </c>
      <c r="B33" s="6" t="s">
        <v>152</v>
      </c>
      <c r="C33" s="19" t="s">
        <v>112</v>
      </c>
      <c r="D33" s="8">
        <v>1500</v>
      </c>
      <c r="E33" s="19">
        <v>1</v>
      </c>
      <c r="F33" s="19" t="s">
        <v>120</v>
      </c>
      <c r="G33" s="8">
        <v>150</v>
      </c>
      <c r="H33" s="8">
        <f>D33+G33</f>
        <v>1650</v>
      </c>
      <c r="I33" s="18">
        <v>4</v>
      </c>
      <c r="J33" s="8">
        <f t="shared" si="0"/>
        <v>412.5</v>
      </c>
      <c r="K33" s="6"/>
      <c r="L33" s="22">
        <v>100000</v>
      </c>
    </row>
    <row r="34" spans="1:12" x14ac:dyDescent="0.25">
      <c r="A34" s="19">
        <v>33</v>
      </c>
      <c r="B34" s="6" t="s">
        <v>153</v>
      </c>
      <c r="C34" s="19" t="s">
        <v>154</v>
      </c>
      <c r="D34" s="8">
        <v>800</v>
      </c>
      <c r="E34" s="19">
        <v>1</v>
      </c>
      <c r="F34" s="19" t="s">
        <v>120</v>
      </c>
      <c r="G34" s="8">
        <v>150</v>
      </c>
      <c r="H34" s="8">
        <f>D34+G34</f>
        <v>950</v>
      </c>
      <c r="I34" s="18">
        <v>4</v>
      </c>
      <c r="J34" s="8">
        <f t="shared" si="0"/>
        <v>237.5</v>
      </c>
      <c r="K34" s="6"/>
      <c r="L34" s="22">
        <v>100000</v>
      </c>
    </row>
    <row r="35" spans="1:12" x14ac:dyDescent="0.25">
      <c r="A35" s="19">
        <v>34</v>
      </c>
      <c r="B35" s="6" t="s">
        <v>155</v>
      </c>
      <c r="C35" s="19" t="s">
        <v>112</v>
      </c>
      <c r="D35" s="8">
        <v>250</v>
      </c>
      <c r="E35" s="19">
        <v>4</v>
      </c>
      <c r="F35" s="19" t="s">
        <v>113</v>
      </c>
      <c r="G35" s="8">
        <v>100</v>
      </c>
      <c r="H35" s="8">
        <f>D35*E35+G35</f>
        <v>1100</v>
      </c>
      <c r="I35" s="18">
        <v>1</v>
      </c>
      <c r="J35" s="8">
        <f t="shared" si="0"/>
        <v>1100</v>
      </c>
      <c r="K35" s="6"/>
      <c r="L35" s="22">
        <v>65000</v>
      </c>
    </row>
    <row r="36" spans="1:12" x14ac:dyDescent="0.25">
      <c r="A36" s="19">
        <v>35</v>
      </c>
      <c r="B36" s="6" t="s">
        <v>156</v>
      </c>
      <c r="C36" s="19" t="s">
        <v>112</v>
      </c>
      <c r="D36" s="8">
        <v>30</v>
      </c>
      <c r="E36" s="19">
        <v>2</v>
      </c>
      <c r="F36" s="19" t="s">
        <v>138</v>
      </c>
      <c r="G36" s="8">
        <v>0</v>
      </c>
      <c r="H36" s="8">
        <f>D36*E36+G36</f>
        <v>60</v>
      </c>
      <c r="I36" s="18">
        <v>3</v>
      </c>
      <c r="J36" s="8">
        <f t="shared" si="0"/>
        <v>20</v>
      </c>
      <c r="K36" s="6" t="s">
        <v>117</v>
      </c>
      <c r="L36" s="22">
        <v>20000</v>
      </c>
    </row>
    <row r="37" spans="1:12" x14ac:dyDescent="0.25">
      <c r="A37" s="19">
        <v>36</v>
      </c>
      <c r="B37" s="6" t="s">
        <v>157</v>
      </c>
      <c r="C37" s="19" t="s">
        <v>112</v>
      </c>
      <c r="D37" s="8">
        <v>1500</v>
      </c>
      <c r="E37" s="19">
        <v>6</v>
      </c>
      <c r="F37" s="19" t="s">
        <v>113</v>
      </c>
      <c r="G37" s="8">
        <v>150</v>
      </c>
      <c r="H37" s="8">
        <f>D37*E37+G37</f>
        <v>9150</v>
      </c>
      <c r="I37" s="18">
        <v>2</v>
      </c>
      <c r="J37" s="8">
        <f t="shared" ref="J37:J68" si="3">H37/I37</f>
        <v>4575</v>
      </c>
      <c r="K37" s="6"/>
      <c r="L37" s="22">
        <v>20000</v>
      </c>
    </row>
    <row r="38" spans="1:12" x14ac:dyDescent="0.25">
      <c r="A38" s="19">
        <v>37</v>
      </c>
      <c r="B38" s="6" t="s">
        <v>158</v>
      </c>
      <c r="C38" s="19" t="s">
        <v>112</v>
      </c>
      <c r="D38" s="8">
        <v>800</v>
      </c>
      <c r="E38" s="19">
        <v>2</v>
      </c>
      <c r="F38" s="19" t="s">
        <v>113</v>
      </c>
      <c r="G38" s="8">
        <v>140</v>
      </c>
      <c r="H38" s="8">
        <f>D38*E38+G38</f>
        <v>1740</v>
      </c>
      <c r="I38" s="18">
        <v>5</v>
      </c>
      <c r="J38" s="8">
        <f t="shared" si="3"/>
        <v>348</v>
      </c>
      <c r="K38" s="6"/>
      <c r="L38" s="22">
        <v>120000</v>
      </c>
    </row>
    <row r="39" spans="1:12" x14ac:dyDescent="0.25">
      <c r="A39" s="19">
        <v>38</v>
      </c>
      <c r="B39" s="6" t="s">
        <v>159</v>
      </c>
      <c r="C39" s="19" t="s">
        <v>112</v>
      </c>
      <c r="D39" s="8">
        <v>500</v>
      </c>
      <c r="E39" s="19">
        <v>1</v>
      </c>
      <c r="F39" s="19" t="s">
        <v>120</v>
      </c>
      <c r="G39" s="8">
        <v>80</v>
      </c>
      <c r="H39" s="8">
        <f>D39+G39</f>
        <v>580</v>
      </c>
      <c r="I39" s="18">
        <v>4</v>
      </c>
      <c r="J39" s="8">
        <f t="shared" si="3"/>
        <v>145</v>
      </c>
      <c r="K39" s="6"/>
      <c r="L39" s="22">
        <v>100000</v>
      </c>
    </row>
    <row r="40" spans="1:12" x14ac:dyDescent="0.25">
      <c r="A40" s="19">
        <v>39</v>
      </c>
      <c r="B40" s="6" t="s">
        <v>160</v>
      </c>
      <c r="C40" s="19" t="s">
        <v>112</v>
      </c>
      <c r="D40" s="8">
        <v>150</v>
      </c>
      <c r="E40" s="19">
        <v>2</v>
      </c>
      <c r="F40" s="19" t="s">
        <v>113</v>
      </c>
      <c r="G40" s="8">
        <v>80</v>
      </c>
      <c r="H40" s="8">
        <f>D40*E40+G40</f>
        <v>380</v>
      </c>
      <c r="I40" s="18">
        <v>1</v>
      </c>
      <c r="J40" s="8">
        <f t="shared" si="3"/>
        <v>380</v>
      </c>
      <c r="K40" s="6"/>
      <c r="L40" s="22">
        <v>50000</v>
      </c>
    </row>
    <row r="41" spans="1:12" x14ac:dyDescent="0.25">
      <c r="A41" s="19">
        <v>40</v>
      </c>
      <c r="B41" s="6" t="s">
        <v>161</v>
      </c>
      <c r="C41" s="19" t="s">
        <v>112</v>
      </c>
      <c r="D41" s="8">
        <v>30</v>
      </c>
      <c r="E41" s="19">
        <v>2</v>
      </c>
      <c r="F41" s="19" t="s">
        <v>113</v>
      </c>
      <c r="G41" s="8">
        <v>80</v>
      </c>
      <c r="H41" s="8">
        <f>D41*E41+G41</f>
        <v>140</v>
      </c>
      <c r="I41" s="18">
        <v>2</v>
      </c>
      <c r="J41" s="8">
        <f t="shared" si="3"/>
        <v>70</v>
      </c>
      <c r="K41" s="6"/>
      <c r="L41" s="22">
        <v>100000</v>
      </c>
    </row>
    <row r="42" spans="1:12" x14ac:dyDescent="0.25">
      <c r="A42" s="19">
        <v>41</v>
      </c>
      <c r="B42" s="6" t="s">
        <v>162</v>
      </c>
      <c r="C42" s="19" t="s">
        <v>112</v>
      </c>
      <c r="D42" s="8">
        <v>30</v>
      </c>
      <c r="E42" s="19">
        <v>4</v>
      </c>
      <c r="F42" s="19" t="s">
        <v>113</v>
      </c>
      <c r="G42" s="8">
        <v>150</v>
      </c>
      <c r="H42" s="8">
        <f>D42*E42+G42</f>
        <v>270</v>
      </c>
      <c r="I42" s="18">
        <v>1</v>
      </c>
      <c r="J42" s="8">
        <f t="shared" si="3"/>
        <v>270</v>
      </c>
      <c r="K42" s="6"/>
      <c r="L42" s="22">
        <v>50000</v>
      </c>
    </row>
    <row r="43" spans="1:12" x14ac:dyDescent="0.25">
      <c r="A43" s="19">
        <v>42</v>
      </c>
      <c r="B43" s="6" t="s">
        <v>163</v>
      </c>
      <c r="C43" s="19" t="s">
        <v>112</v>
      </c>
      <c r="D43" s="8">
        <v>40</v>
      </c>
      <c r="E43" s="19">
        <v>8</v>
      </c>
      <c r="F43" s="19" t="s">
        <v>164</v>
      </c>
      <c r="G43" s="8">
        <v>0</v>
      </c>
      <c r="H43" s="8">
        <f>D43*E43+G43</f>
        <v>320</v>
      </c>
      <c r="I43" s="18">
        <v>1</v>
      </c>
      <c r="J43" s="8">
        <f t="shared" si="3"/>
        <v>320</v>
      </c>
      <c r="K43" s="6" t="s">
        <v>117</v>
      </c>
      <c r="L43" s="22">
        <v>40000</v>
      </c>
    </row>
    <row r="44" spans="1:12" x14ac:dyDescent="0.25">
      <c r="A44" s="19">
        <v>43</v>
      </c>
      <c r="B44" s="6" t="s">
        <v>165</v>
      </c>
      <c r="C44" s="19" t="s">
        <v>112</v>
      </c>
      <c r="D44" s="8">
        <v>180</v>
      </c>
      <c r="E44" s="19">
        <v>4</v>
      </c>
      <c r="F44" s="19" t="s">
        <v>113</v>
      </c>
      <c r="G44" s="8">
        <v>150</v>
      </c>
      <c r="H44" s="8">
        <f>D44*E44+G44</f>
        <v>870</v>
      </c>
      <c r="I44" s="18">
        <v>1</v>
      </c>
      <c r="J44" s="8">
        <f t="shared" si="3"/>
        <v>870</v>
      </c>
      <c r="K44" s="6"/>
      <c r="L44" s="22">
        <v>20000</v>
      </c>
    </row>
    <row r="45" spans="1:12" x14ac:dyDescent="0.25">
      <c r="A45" s="19">
        <v>44</v>
      </c>
      <c r="B45" s="6" t="s">
        <v>166</v>
      </c>
      <c r="C45" s="19" t="s">
        <v>112</v>
      </c>
      <c r="D45" s="8">
        <v>450</v>
      </c>
      <c r="E45" s="19">
        <v>1</v>
      </c>
      <c r="F45" s="19" t="s">
        <v>120</v>
      </c>
      <c r="G45" s="8">
        <v>100</v>
      </c>
      <c r="H45" s="8">
        <f>D45+G45</f>
        <v>550</v>
      </c>
      <c r="I45" s="18">
        <v>2</v>
      </c>
      <c r="J45" s="8">
        <f t="shared" si="3"/>
        <v>275</v>
      </c>
      <c r="K45" s="6"/>
      <c r="L45" s="22">
        <v>35000</v>
      </c>
    </row>
    <row r="46" spans="1:12" x14ac:dyDescent="0.25">
      <c r="A46" s="19">
        <v>45</v>
      </c>
      <c r="B46" s="6" t="s">
        <v>167</v>
      </c>
      <c r="C46" s="19" t="s">
        <v>112</v>
      </c>
      <c r="D46" s="8">
        <v>1050</v>
      </c>
      <c r="E46" s="19">
        <v>2</v>
      </c>
      <c r="F46" s="19" t="s">
        <v>113</v>
      </c>
      <c r="G46" s="8">
        <v>0</v>
      </c>
      <c r="H46" s="8">
        <f>D46*E46+G46</f>
        <v>2100</v>
      </c>
      <c r="I46" s="18">
        <v>2</v>
      </c>
      <c r="J46" s="8">
        <f t="shared" si="3"/>
        <v>1050</v>
      </c>
      <c r="K46" s="6" t="s">
        <v>117</v>
      </c>
      <c r="L46" s="22">
        <v>50000</v>
      </c>
    </row>
    <row r="47" spans="1:12" x14ac:dyDescent="0.25">
      <c r="A47" s="19">
        <v>46</v>
      </c>
      <c r="B47" s="6" t="s">
        <v>168</v>
      </c>
      <c r="C47" s="19" t="s">
        <v>169</v>
      </c>
      <c r="D47" s="8">
        <v>150</v>
      </c>
      <c r="E47" s="19">
        <v>1</v>
      </c>
      <c r="F47" s="19" t="s">
        <v>120</v>
      </c>
      <c r="G47" s="8">
        <v>150</v>
      </c>
      <c r="H47" s="8">
        <f t="shared" ref="H47:H53" si="4">D47+G47</f>
        <v>300</v>
      </c>
      <c r="I47" s="18">
        <v>1</v>
      </c>
      <c r="J47" s="8">
        <f t="shared" si="3"/>
        <v>300</v>
      </c>
      <c r="K47" s="6"/>
      <c r="L47" s="22">
        <v>20000</v>
      </c>
    </row>
    <row r="48" spans="1:12" x14ac:dyDescent="0.25">
      <c r="A48" s="19">
        <v>47</v>
      </c>
      <c r="B48" s="6" t="s">
        <v>170</v>
      </c>
      <c r="C48" s="19" t="s">
        <v>169</v>
      </c>
      <c r="D48" s="8">
        <v>150</v>
      </c>
      <c r="E48" s="19">
        <v>1</v>
      </c>
      <c r="F48" s="19" t="s">
        <v>120</v>
      </c>
      <c r="G48" s="8">
        <v>150</v>
      </c>
      <c r="H48" s="8">
        <f t="shared" si="4"/>
        <v>300</v>
      </c>
      <c r="I48" s="18">
        <v>1</v>
      </c>
      <c r="J48" s="8">
        <f t="shared" si="3"/>
        <v>300</v>
      </c>
      <c r="K48" s="6"/>
      <c r="L48" s="22">
        <v>45000</v>
      </c>
    </row>
    <row r="49" spans="1:12" x14ac:dyDescent="0.25">
      <c r="A49" s="19">
        <v>48</v>
      </c>
      <c r="B49" s="6" t="s">
        <v>171</v>
      </c>
      <c r="C49" s="19" t="s">
        <v>112</v>
      </c>
      <c r="D49" s="8">
        <v>80</v>
      </c>
      <c r="E49" s="19">
        <v>2</v>
      </c>
      <c r="F49" s="19" t="s">
        <v>120</v>
      </c>
      <c r="G49" s="8">
        <v>0</v>
      </c>
      <c r="H49" s="8">
        <f t="shared" si="4"/>
        <v>80</v>
      </c>
      <c r="I49" s="18">
        <v>1</v>
      </c>
      <c r="J49" s="8">
        <f t="shared" si="3"/>
        <v>80</v>
      </c>
      <c r="K49" s="6" t="s">
        <v>117</v>
      </c>
      <c r="L49" s="22">
        <v>20000</v>
      </c>
    </row>
    <row r="50" spans="1:12" x14ac:dyDescent="0.25">
      <c r="A50" s="19">
        <v>49</v>
      </c>
      <c r="B50" s="6" t="s">
        <v>172</v>
      </c>
      <c r="C50" s="19" t="s">
        <v>112</v>
      </c>
      <c r="D50" s="8">
        <v>15</v>
      </c>
      <c r="E50" s="19">
        <v>2</v>
      </c>
      <c r="F50" s="19" t="s">
        <v>120</v>
      </c>
      <c r="G50" s="8">
        <v>0</v>
      </c>
      <c r="H50" s="8">
        <f t="shared" si="4"/>
        <v>15</v>
      </c>
      <c r="I50" s="18">
        <v>1</v>
      </c>
      <c r="J50" s="8">
        <f t="shared" si="3"/>
        <v>15</v>
      </c>
      <c r="K50" s="6" t="s">
        <v>117</v>
      </c>
      <c r="L50" s="22">
        <v>20000</v>
      </c>
    </row>
    <row r="51" spans="1:12" x14ac:dyDescent="0.25">
      <c r="A51" s="19">
        <v>50</v>
      </c>
      <c r="B51" s="6" t="s">
        <v>173</v>
      </c>
      <c r="C51" s="19" t="s">
        <v>154</v>
      </c>
      <c r="D51" s="8">
        <v>800</v>
      </c>
      <c r="E51" s="19">
        <v>1</v>
      </c>
      <c r="F51" s="19" t="s">
        <v>174</v>
      </c>
      <c r="G51" s="8">
        <v>0</v>
      </c>
      <c r="H51" s="8">
        <f t="shared" si="4"/>
        <v>800</v>
      </c>
      <c r="I51" s="18">
        <v>2</v>
      </c>
      <c r="J51" s="8">
        <f t="shared" si="3"/>
        <v>400</v>
      </c>
      <c r="K51" s="6" t="s">
        <v>117</v>
      </c>
      <c r="L51" s="22">
        <v>100000</v>
      </c>
    </row>
    <row r="52" spans="1:12" x14ac:dyDescent="0.25">
      <c r="A52" s="19">
        <v>51</v>
      </c>
      <c r="B52" s="6" t="s">
        <v>175</v>
      </c>
      <c r="C52" s="19" t="s">
        <v>154</v>
      </c>
      <c r="D52" s="8">
        <v>2000</v>
      </c>
      <c r="E52" s="19">
        <v>1</v>
      </c>
      <c r="F52" s="19" t="s">
        <v>174</v>
      </c>
      <c r="G52" s="8">
        <v>0</v>
      </c>
      <c r="H52" s="8">
        <f t="shared" si="4"/>
        <v>2000</v>
      </c>
      <c r="I52" s="18">
        <v>5</v>
      </c>
      <c r="J52" s="8">
        <f t="shared" si="3"/>
        <v>400</v>
      </c>
      <c r="K52" s="6" t="s">
        <v>117</v>
      </c>
      <c r="L52" s="22">
        <v>65000</v>
      </c>
    </row>
    <row r="53" spans="1:12" x14ac:dyDescent="0.25">
      <c r="A53" s="19">
        <v>52</v>
      </c>
      <c r="B53" s="6" t="s">
        <v>176</v>
      </c>
      <c r="C53" s="19" t="s">
        <v>169</v>
      </c>
      <c r="D53" s="8">
        <v>60</v>
      </c>
      <c r="E53" s="19">
        <v>1</v>
      </c>
      <c r="F53" s="19" t="s">
        <v>174</v>
      </c>
      <c r="G53" s="8">
        <v>0</v>
      </c>
      <c r="H53" s="8">
        <f t="shared" si="4"/>
        <v>60</v>
      </c>
      <c r="I53" s="18">
        <v>0.08</v>
      </c>
      <c r="J53" s="8">
        <f t="shared" si="3"/>
        <v>750</v>
      </c>
      <c r="K53" s="6" t="s">
        <v>117</v>
      </c>
      <c r="L53" s="22">
        <v>3500</v>
      </c>
    </row>
    <row r="54" spans="1:12" x14ac:dyDescent="0.25">
      <c r="A54" s="76" t="s">
        <v>177</v>
      </c>
      <c r="B54" s="77"/>
      <c r="C54" s="77"/>
      <c r="D54" s="77"/>
      <c r="E54" s="77"/>
      <c r="F54" s="77"/>
      <c r="G54" s="77"/>
      <c r="H54" s="77"/>
      <c r="I54" s="77"/>
      <c r="J54" s="15">
        <f>SUM(J5:J53)</f>
        <v>34082</v>
      </c>
      <c r="K54" s="23"/>
      <c r="L54" s="23"/>
    </row>
    <row r="55" spans="1:12" x14ac:dyDescent="0.25">
      <c r="A55" s="76" t="s">
        <v>178</v>
      </c>
      <c r="B55" s="77"/>
      <c r="C55" s="77"/>
      <c r="D55" s="77"/>
      <c r="E55" s="77"/>
      <c r="F55" s="77"/>
      <c r="G55" s="77"/>
      <c r="H55" s="77"/>
      <c r="I55" s="77"/>
      <c r="J55" s="24">
        <f>J54/12</f>
        <v>2840.1666666666665</v>
      </c>
      <c r="K55" s="23"/>
      <c r="L55" s="23"/>
    </row>
  </sheetData>
  <mergeCells count="4">
    <mergeCell ref="A55:I55"/>
    <mergeCell ref="A2:L2"/>
    <mergeCell ref="A1:L1"/>
    <mergeCell ref="A54:I54"/>
  </mergeCells>
  <pageMargins left="0.75" right="0.75" top="1" bottom="1" header="0.5" footer="0.5"/>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7"/>
  <sheetViews>
    <sheetView workbookViewId="0">
      <selection activeCell="G8" sqref="G8"/>
    </sheetView>
  </sheetViews>
  <sheetFormatPr baseColWidth="10" defaultColWidth="9.140625" defaultRowHeight="15" x14ac:dyDescent="0.25"/>
  <cols>
    <col min="1" max="1" width="34.7109375" customWidth="1"/>
    <col min="2" max="2" width="18" customWidth="1"/>
    <col min="3" max="3" width="15" customWidth="1"/>
    <col min="4" max="4" width="37.7109375" customWidth="1"/>
    <col min="5" max="6" width="15" customWidth="1"/>
    <col min="7" max="7" width="12.28515625" customWidth="1"/>
    <col min="8" max="8" width="15" customWidth="1"/>
  </cols>
  <sheetData>
    <row r="1" spans="1:8" ht="18.75" x14ac:dyDescent="0.25">
      <c r="A1" s="69" t="s">
        <v>179</v>
      </c>
      <c r="B1" s="67"/>
      <c r="C1" s="67"/>
      <c r="D1" s="67"/>
      <c r="E1" s="67"/>
      <c r="F1" s="67"/>
      <c r="G1" s="67"/>
      <c r="H1" s="67"/>
    </row>
    <row r="2" spans="1:8" x14ac:dyDescent="0.25">
      <c r="A2" s="74" t="s">
        <v>180</v>
      </c>
      <c r="B2" s="67"/>
      <c r="C2" s="67"/>
      <c r="D2" s="67"/>
      <c r="E2" s="67"/>
      <c r="F2" s="67"/>
      <c r="G2" s="67"/>
      <c r="H2" s="67"/>
    </row>
    <row r="4" spans="1:8" x14ac:dyDescent="0.25">
      <c r="A4" s="66" t="s">
        <v>181</v>
      </c>
      <c r="B4" s="67"/>
      <c r="C4" s="67"/>
      <c r="D4" s="67"/>
      <c r="E4" s="67"/>
      <c r="F4" s="67"/>
      <c r="G4" s="67"/>
      <c r="H4" s="67"/>
    </row>
    <row r="5" spans="1:8" x14ac:dyDescent="0.25">
      <c r="A5" s="5" t="s">
        <v>182</v>
      </c>
      <c r="B5" s="5" t="s">
        <v>183</v>
      </c>
      <c r="C5" s="5" t="s">
        <v>184</v>
      </c>
      <c r="D5" s="5" t="s">
        <v>185</v>
      </c>
      <c r="E5" s="5" t="s">
        <v>186</v>
      </c>
      <c r="F5" s="5" t="s">
        <v>187</v>
      </c>
      <c r="G5" s="5" t="s">
        <v>188</v>
      </c>
      <c r="H5" s="5" t="s">
        <v>189</v>
      </c>
    </row>
    <row r="6" spans="1:8" x14ac:dyDescent="0.25">
      <c r="A6" s="19">
        <v>1</v>
      </c>
      <c r="B6" s="6" t="s">
        <v>190</v>
      </c>
      <c r="C6" s="22">
        <v>987</v>
      </c>
      <c r="D6" s="8">
        <v>82475</v>
      </c>
      <c r="E6" s="22">
        <v>265569</v>
      </c>
      <c r="F6" s="19">
        <v>26</v>
      </c>
      <c r="G6" s="18">
        <v>3</v>
      </c>
      <c r="H6" s="6" t="s">
        <v>191</v>
      </c>
    </row>
    <row r="7" spans="1:8" x14ac:dyDescent="0.25">
      <c r="A7" s="19">
        <v>2</v>
      </c>
      <c r="B7" s="6" t="s">
        <v>192</v>
      </c>
      <c r="C7" s="22">
        <v>874</v>
      </c>
      <c r="D7" s="8">
        <v>84782.634999999995</v>
      </c>
      <c r="E7" s="22">
        <v>273000</v>
      </c>
      <c r="F7" s="19">
        <v>26</v>
      </c>
      <c r="G7" s="18">
        <v>3.5</v>
      </c>
      <c r="H7" s="6" t="s">
        <v>193</v>
      </c>
    </row>
    <row r="8" spans="1:8" x14ac:dyDescent="0.25">
      <c r="A8" s="19">
        <v>3</v>
      </c>
      <c r="B8" s="6" t="s">
        <v>194</v>
      </c>
      <c r="C8" s="22">
        <v>800</v>
      </c>
      <c r="D8" s="8">
        <v>85317</v>
      </c>
      <c r="E8" s="22">
        <v>265569</v>
      </c>
      <c r="F8" s="19">
        <v>26</v>
      </c>
      <c r="G8" s="18">
        <v>3.85</v>
      </c>
      <c r="H8" s="6" t="s">
        <v>195</v>
      </c>
    </row>
    <row r="10" spans="1:8" x14ac:dyDescent="0.25">
      <c r="A10" s="66" t="s">
        <v>196</v>
      </c>
      <c r="B10" s="67"/>
      <c r="C10" s="67"/>
      <c r="D10" s="67"/>
      <c r="E10" s="67"/>
      <c r="F10" s="67"/>
      <c r="G10" s="67"/>
      <c r="H10" s="67"/>
    </row>
    <row r="11" spans="1:8" x14ac:dyDescent="0.25">
      <c r="A11" s="25" t="s">
        <v>197</v>
      </c>
      <c r="B11" s="26">
        <f>C6</f>
        <v>987</v>
      </c>
      <c r="C11" s="27" t="s">
        <v>198</v>
      </c>
      <c r="D11" s="6" t="s">
        <v>199</v>
      </c>
    </row>
    <row r="12" spans="1:8" x14ac:dyDescent="0.25">
      <c r="A12" s="25" t="s">
        <v>200</v>
      </c>
      <c r="B12" s="28">
        <f>D6</f>
        <v>82475</v>
      </c>
      <c r="C12" s="27" t="s">
        <v>65</v>
      </c>
      <c r="D12" s="6" t="s">
        <v>201</v>
      </c>
    </row>
    <row r="13" spans="1:8" x14ac:dyDescent="0.25">
      <c r="A13" s="25" t="s">
        <v>202</v>
      </c>
      <c r="B13" s="26">
        <f>E6</f>
        <v>265569</v>
      </c>
      <c r="C13" s="27" t="s">
        <v>203</v>
      </c>
      <c r="D13" s="6" t="s">
        <v>204</v>
      </c>
    </row>
    <row r="14" spans="1:8" x14ac:dyDescent="0.25">
      <c r="A14" s="25" t="s">
        <v>205</v>
      </c>
      <c r="B14" s="26">
        <f>F6</f>
        <v>26</v>
      </c>
      <c r="C14" s="27" t="s">
        <v>206</v>
      </c>
      <c r="D14" s="6" t="s">
        <v>207</v>
      </c>
    </row>
    <row r="15" spans="1:8" x14ac:dyDescent="0.25">
      <c r="A15" s="25" t="s">
        <v>208</v>
      </c>
      <c r="B15" s="29">
        <f>G6</f>
        <v>3</v>
      </c>
      <c r="C15" s="27" t="s">
        <v>59</v>
      </c>
      <c r="D15" s="6" t="s">
        <v>61</v>
      </c>
    </row>
    <row r="16" spans="1:8" x14ac:dyDescent="0.25">
      <c r="A16" s="25" t="s">
        <v>209</v>
      </c>
      <c r="B16" s="28">
        <f>B12/B11</f>
        <v>83.561296859169204</v>
      </c>
      <c r="C16" s="27" t="s">
        <v>210</v>
      </c>
      <c r="D16" s="6" t="s">
        <v>211</v>
      </c>
    </row>
    <row r="17" spans="1:8" x14ac:dyDescent="0.25">
      <c r="A17" s="25" t="s">
        <v>212</v>
      </c>
      <c r="B17" s="28">
        <f>B16*B14</f>
        <v>2172.5937183383994</v>
      </c>
      <c r="C17" s="27" t="s">
        <v>213</v>
      </c>
      <c r="D17" s="6" t="s">
        <v>214</v>
      </c>
    </row>
    <row r="18" spans="1:8" x14ac:dyDescent="0.25">
      <c r="A18" s="25" t="s">
        <v>215</v>
      </c>
      <c r="B18" s="26">
        <f>B13/B11</f>
        <v>269.06686930091183</v>
      </c>
      <c r="C18" s="27" t="s">
        <v>216</v>
      </c>
      <c r="D18" s="6" t="s">
        <v>217</v>
      </c>
    </row>
    <row r="19" spans="1:8" x14ac:dyDescent="0.25">
      <c r="A19" s="25" t="s">
        <v>218</v>
      </c>
      <c r="B19" s="26">
        <f>B18*B14</f>
        <v>6995.7386018237075</v>
      </c>
      <c r="C19" s="27" t="s">
        <v>219</v>
      </c>
      <c r="D19" s="6" t="s">
        <v>220</v>
      </c>
    </row>
    <row r="20" spans="1:8" x14ac:dyDescent="0.25">
      <c r="A20" s="25" t="s">
        <v>221</v>
      </c>
      <c r="B20" s="30">
        <f>B13/B12</f>
        <v>3.2199939375568354</v>
      </c>
      <c r="C20" s="27" t="s">
        <v>87</v>
      </c>
      <c r="D20" s="6" t="s">
        <v>222</v>
      </c>
    </row>
    <row r="22" spans="1:8" x14ac:dyDescent="0.25">
      <c r="A22" s="66" t="s">
        <v>223</v>
      </c>
      <c r="B22" s="67"/>
      <c r="C22" s="67"/>
      <c r="D22" s="67"/>
      <c r="E22" s="67"/>
      <c r="F22" s="67"/>
      <c r="G22" s="67"/>
      <c r="H22" s="67"/>
    </row>
    <row r="23" spans="1:8" x14ac:dyDescent="0.25">
      <c r="A23" s="25" t="s">
        <v>224</v>
      </c>
      <c r="B23" s="26">
        <v>1</v>
      </c>
      <c r="C23" s="27" t="s">
        <v>225</v>
      </c>
      <c r="D23" s="6" t="s">
        <v>226</v>
      </c>
    </row>
    <row r="24" spans="1:8" x14ac:dyDescent="0.25">
      <c r="A24" s="25" t="s">
        <v>227</v>
      </c>
      <c r="B24" s="26">
        <v>1</v>
      </c>
      <c r="C24" s="27" t="s">
        <v>228</v>
      </c>
      <c r="D24" s="6" t="s">
        <v>229</v>
      </c>
    </row>
    <row r="25" spans="1:8" x14ac:dyDescent="0.25">
      <c r="A25" s="25" t="s">
        <v>230</v>
      </c>
      <c r="B25" s="28">
        <v>3300</v>
      </c>
      <c r="C25" s="27" t="s">
        <v>231</v>
      </c>
      <c r="D25" s="6" t="s">
        <v>232</v>
      </c>
    </row>
    <row r="26" spans="1:8" x14ac:dyDescent="0.25">
      <c r="A26" s="25" t="s">
        <v>233</v>
      </c>
      <c r="B26" s="31">
        <v>8.3333333300000006E-2</v>
      </c>
      <c r="C26" s="27" t="s">
        <v>234</v>
      </c>
      <c r="D26" s="6" t="s">
        <v>235</v>
      </c>
    </row>
    <row r="27" spans="1:8" x14ac:dyDescent="0.25">
      <c r="A27" s="25" t="s">
        <v>236</v>
      </c>
      <c r="B27" s="29">
        <v>5.5</v>
      </c>
      <c r="C27" s="27" t="s">
        <v>237</v>
      </c>
      <c r="D27" s="6" t="s">
        <v>238</v>
      </c>
    </row>
    <row r="28" spans="1:8" x14ac:dyDescent="0.25">
      <c r="A28" s="25" t="s">
        <v>239</v>
      </c>
      <c r="B28" s="31">
        <v>0.15</v>
      </c>
      <c r="C28" s="27" t="s">
        <v>240</v>
      </c>
      <c r="D28" s="6" t="s">
        <v>241</v>
      </c>
    </row>
    <row r="29" spans="1:8" x14ac:dyDescent="0.25">
      <c r="A29" s="25" t="s">
        <v>242</v>
      </c>
      <c r="B29" s="28">
        <v>17.95</v>
      </c>
      <c r="C29" s="27" t="s">
        <v>243</v>
      </c>
      <c r="D29" s="6" t="s">
        <v>244</v>
      </c>
    </row>
    <row r="30" spans="1:8" x14ac:dyDescent="0.25">
      <c r="A30" s="25" t="s">
        <v>245</v>
      </c>
      <c r="B30" s="28">
        <f>MANTENIMIENTO_NISSAN!J55</f>
        <v>2840.1666666666665</v>
      </c>
      <c r="C30" s="27" t="s">
        <v>231</v>
      </c>
      <c r="D30" s="6" t="s">
        <v>246</v>
      </c>
    </row>
    <row r="31" spans="1:8" x14ac:dyDescent="0.25">
      <c r="A31" s="25" t="s">
        <v>247</v>
      </c>
      <c r="B31" s="31">
        <v>0.25137367119999998</v>
      </c>
      <c r="C31" s="27" t="s">
        <v>248</v>
      </c>
      <c r="D31" s="6" t="s">
        <v>249</v>
      </c>
    </row>
    <row r="32" spans="1:8" x14ac:dyDescent="0.25">
      <c r="A32" s="25" t="s">
        <v>250</v>
      </c>
      <c r="B32" s="31">
        <v>0.74862632880000002</v>
      </c>
      <c r="C32" s="27" t="s">
        <v>251</v>
      </c>
      <c r="D32" s="6" t="s">
        <v>252</v>
      </c>
    </row>
    <row r="33" spans="1:4" x14ac:dyDescent="0.25">
      <c r="A33" s="25" t="s">
        <v>253</v>
      </c>
      <c r="B33" s="28">
        <v>198360</v>
      </c>
      <c r="C33" s="27" t="s">
        <v>254</v>
      </c>
      <c r="D33" s="6" t="s">
        <v>255</v>
      </c>
    </row>
    <row r="34" spans="1:4" x14ac:dyDescent="0.25">
      <c r="A34" s="25" t="s">
        <v>256</v>
      </c>
      <c r="B34" s="28">
        <v>0</v>
      </c>
      <c r="C34" s="27" t="s">
        <v>254</v>
      </c>
      <c r="D34" s="6" t="s">
        <v>257</v>
      </c>
    </row>
    <row r="35" spans="1:4" x14ac:dyDescent="0.25">
      <c r="A35" s="25" t="s">
        <v>258</v>
      </c>
      <c r="B35" s="26">
        <v>120</v>
      </c>
      <c r="C35" s="27" t="s">
        <v>259</v>
      </c>
      <c r="D35" s="6" t="s">
        <v>260</v>
      </c>
    </row>
    <row r="36" spans="1:4" x14ac:dyDescent="0.25">
      <c r="A36" s="25" t="s">
        <v>261</v>
      </c>
      <c r="B36" s="31">
        <v>0.11</v>
      </c>
      <c r="C36" s="27" t="s">
        <v>262</v>
      </c>
      <c r="D36" s="6" t="s">
        <v>263</v>
      </c>
    </row>
    <row r="37" spans="1:4" x14ac:dyDescent="0.25">
      <c r="A37" s="25" t="s">
        <v>264</v>
      </c>
      <c r="B37" s="31">
        <v>0.05</v>
      </c>
      <c r="C37" s="27" t="s">
        <v>265</v>
      </c>
      <c r="D37" s="6" t="s">
        <v>266</v>
      </c>
    </row>
  </sheetData>
  <mergeCells count="5">
    <mergeCell ref="A4:H4"/>
    <mergeCell ref="A2:H2"/>
    <mergeCell ref="A10:H10"/>
    <mergeCell ref="A1:H1"/>
    <mergeCell ref="A22:H2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2"/>
  <sheetViews>
    <sheetView workbookViewId="0">
      <selection activeCell="F32" sqref="F32"/>
    </sheetView>
  </sheetViews>
  <sheetFormatPr baseColWidth="10" defaultColWidth="9.140625" defaultRowHeight="15" x14ac:dyDescent="0.25"/>
  <cols>
    <col min="1" max="1" width="18" customWidth="1"/>
    <col min="2" max="2" width="42.42578125" customWidth="1"/>
    <col min="3" max="3" width="30" customWidth="1"/>
    <col min="4" max="4" width="18" customWidth="1"/>
    <col min="5" max="7" width="15" customWidth="1"/>
  </cols>
  <sheetData>
    <row r="1" spans="1:7" ht="18.75" x14ac:dyDescent="0.25">
      <c r="A1" s="69" t="s">
        <v>267</v>
      </c>
      <c r="B1" s="67"/>
      <c r="C1" s="67"/>
      <c r="D1" s="67"/>
      <c r="E1" s="67"/>
      <c r="F1" s="67"/>
      <c r="G1" s="67"/>
    </row>
    <row r="2" spans="1:7" x14ac:dyDescent="0.25">
      <c r="A2" s="74" t="s">
        <v>268</v>
      </c>
      <c r="B2" s="67"/>
      <c r="C2" s="67"/>
      <c r="D2" s="67"/>
      <c r="E2" s="67"/>
      <c r="F2" s="67"/>
      <c r="G2" s="67"/>
    </row>
    <row r="4" spans="1:7" x14ac:dyDescent="0.25">
      <c r="A4" s="66" t="s">
        <v>269</v>
      </c>
      <c r="B4" s="67"/>
      <c r="C4" s="67"/>
      <c r="D4" s="67"/>
      <c r="E4" s="67"/>
      <c r="F4" s="67"/>
      <c r="G4" s="67"/>
    </row>
    <row r="5" spans="1:7" x14ac:dyDescent="0.25">
      <c r="A5" s="5" t="s">
        <v>270</v>
      </c>
      <c r="B5" s="5" t="s">
        <v>271</v>
      </c>
      <c r="C5" s="5" t="s">
        <v>272</v>
      </c>
      <c r="D5" s="5" t="s">
        <v>273</v>
      </c>
      <c r="E5" s="5" t="s">
        <v>274</v>
      </c>
      <c r="F5" s="5" t="s">
        <v>275</v>
      </c>
      <c r="G5" s="5" t="s">
        <v>276</v>
      </c>
    </row>
    <row r="6" spans="1:7" x14ac:dyDescent="0.25">
      <c r="A6" s="32" t="s">
        <v>277</v>
      </c>
      <c r="B6" s="33" t="s">
        <v>278</v>
      </c>
      <c r="C6" s="33" t="s">
        <v>279</v>
      </c>
      <c r="D6" s="34">
        <f>(SUPUESTOS_PARAMETROS!B17/SUPUESTOS_PARAMETROS!B27)*SUPUESTOS_PARAMETROS!B29*(1+SUPUESTOS_PARAMETROS!B28)</f>
        <v>8154.1392419637104</v>
      </c>
      <c r="E6" s="34">
        <f>D6</f>
        <v>8154.1392419637104</v>
      </c>
      <c r="F6" s="35">
        <f>E6/SUPUESTOS_PARAMETROS!B17</f>
        <v>3.753181818181818</v>
      </c>
      <c r="G6" s="36">
        <f>E6/$E$32</f>
        <v>0.43463191887782354</v>
      </c>
    </row>
    <row r="7" spans="1:7" x14ac:dyDescent="0.25">
      <c r="A7" s="32" t="s">
        <v>280</v>
      </c>
      <c r="B7" s="33" t="s">
        <v>281</v>
      </c>
      <c r="C7" s="33" t="s">
        <v>282</v>
      </c>
      <c r="D7" s="34">
        <f>SUPUESTOS_PARAMETROS!B30*SUPUESTOS_PARAMETROS!B31</f>
        <v>713.94312181986663</v>
      </c>
      <c r="E7" s="34">
        <f>D7</f>
        <v>713.94312181986663</v>
      </c>
      <c r="F7" s="35">
        <f>E7/SUPUESTOS_PARAMETROS!B17</f>
        <v>0.32861326800019042</v>
      </c>
      <c r="G7" s="36">
        <f>E7/$E$32</f>
        <v>3.8054595316361579E-2</v>
      </c>
    </row>
    <row r="8" spans="1:7" x14ac:dyDescent="0.25">
      <c r="A8" s="76" t="s">
        <v>283</v>
      </c>
      <c r="B8" s="77"/>
      <c r="C8" s="77"/>
      <c r="D8" s="77"/>
      <c r="E8" s="37">
        <f>SUM(E6:E7)</f>
        <v>8868.0823637835765</v>
      </c>
      <c r="F8" s="38">
        <f>E8/SUPUESTOS_PARAMETROS!B17</f>
        <v>4.0817950861820078</v>
      </c>
      <c r="G8" s="39">
        <f>E8/$E$32</f>
        <v>0.47268651419418506</v>
      </c>
    </row>
    <row r="10" spans="1:7" x14ac:dyDescent="0.25">
      <c r="A10" s="66" t="s">
        <v>284</v>
      </c>
      <c r="B10" s="67"/>
      <c r="C10" s="67"/>
      <c r="D10" s="67"/>
      <c r="E10" s="67"/>
      <c r="F10" s="67"/>
      <c r="G10" s="67"/>
    </row>
    <row r="11" spans="1:7" x14ac:dyDescent="0.25">
      <c r="A11" s="40" t="s">
        <v>280</v>
      </c>
      <c r="B11" s="41" t="s">
        <v>285</v>
      </c>
      <c r="C11" s="41" t="s">
        <v>286</v>
      </c>
      <c r="D11" s="42">
        <f>SUPUESTOS_PARAMETROS!B30*SUPUESTOS_PARAMETROS!B32</f>
        <v>2126.2235448468</v>
      </c>
      <c r="E11" s="42">
        <f t="shared" ref="E11:E20" si="0">D11</f>
        <v>2126.2235448468</v>
      </c>
      <c r="F11" s="43">
        <f>E11/SUPUESTOS_PARAMETROS!$B$17</f>
        <v>0.97865676720861394</v>
      </c>
      <c r="G11" s="44">
        <f t="shared" ref="G11:G21" si="1">E11/$E$32</f>
        <v>0.11333196451982853</v>
      </c>
    </row>
    <row r="12" spans="1:7" x14ac:dyDescent="0.25">
      <c r="A12" s="40" t="s">
        <v>287</v>
      </c>
      <c r="B12" s="41" t="s">
        <v>288</v>
      </c>
      <c r="C12" s="41" t="s">
        <v>289</v>
      </c>
      <c r="D12" s="42">
        <f>SUPUESTOS_PARAMETROS!B25</f>
        <v>3300</v>
      </c>
      <c r="E12" s="42">
        <f t="shared" si="0"/>
        <v>3300</v>
      </c>
      <c r="F12" s="43">
        <f>E12/SUPUESTOS_PARAMETROS!$B$17</f>
        <v>1.5189218178002657</v>
      </c>
      <c r="G12" s="44">
        <f t="shared" si="1"/>
        <v>0.17589659554935533</v>
      </c>
    </row>
    <row r="13" spans="1:7" x14ac:dyDescent="0.25">
      <c r="A13" s="40" t="s">
        <v>287</v>
      </c>
      <c r="B13" s="41" t="s">
        <v>290</v>
      </c>
      <c r="C13" s="41" t="s">
        <v>291</v>
      </c>
      <c r="D13" s="42">
        <f>E12*SUPUESTOS_PARAMETROS!B26</f>
        <v>274.99999989000003</v>
      </c>
      <c r="E13" s="42">
        <f t="shared" si="0"/>
        <v>274.99999989000003</v>
      </c>
      <c r="F13" s="43">
        <f>E13/SUPUESTOS_PARAMETROS!$B$17</f>
        <v>0.12657681809939142</v>
      </c>
      <c r="G13" s="44">
        <f t="shared" si="1"/>
        <v>1.4658049623249726E-2</v>
      </c>
    </row>
    <row r="14" spans="1:7" x14ac:dyDescent="0.25">
      <c r="A14" s="40" t="s">
        <v>292</v>
      </c>
      <c r="B14" s="41" t="s">
        <v>293</v>
      </c>
      <c r="C14" s="41" t="s">
        <v>294</v>
      </c>
      <c r="D14" s="42">
        <f>445/12</f>
        <v>37.083333333333336</v>
      </c>
      <c r="E14" s="42">
        <f t="shared" si="0"/>
        <v>37.083333333333336</v>
      </c>
      <c r="F14" s="43">
        <f>E14/SUPUESTOS_PARAMETROS!$B$17</f>
        <v>1.7068692144472684E-2</v>
      </c>
      <c r="G14" s="44">
        <f t="shared" si="1"/>
        <v>1.9766157833197759E-3</v>
      </c>
    </row>
    <row r="15" spans="1:7" x14ac:dyDescent="0.25">
      <c r="A15" s="40" t="s">
        <v>292</v>
      </c>
      <c r="B15" s="41" t="s">
        <v>295</v>
      </c>
      <c r="C15" s="41" t="s">
        <v>296</v>
      </c>
      <c r="D15" s="42">
        <f>700/12</f>
        <v>58.333333333333336</v>
      </c>
      <c r="E15" s="42">
        <f t="shared" si="0"/>
        <v>58.333333333333336</v>
      </c>
      <c r="F15" s="43">
        <f>E15/SUPUESTOS_PARAMETROS!$B$17</f>
        <v>2.684962809242894E-2</v>
      </c>
      <c r="G15" s="44">
        <f t="shared" si="1"/>
        <v>3.1092832546603215E-3</v>
      </c>
    </row>
    <row r="16" spans="1:7" x14ac:dyDescent="0.25">
      <c r="A16" s="40" t="s">
        <v>292</v>
      </c>
      <c r="B16" s="41" t="s">
        <v>297</v>
      </c>
      <c r="C16" s="41" t="s">
        <v>298</v>
      </c>
      <c r="D16" s="42">
        <f>30/12</f>
        <v>2.5</v>
      </c>
      <c r="E16" s="42">
        <f t="shared" si="0"/>
        <v>2.5</v>
      </c>
      <c r="F16" s="43">
        <f>E16/SUPUESTOS_PARAMETROS!$B$17</f>
        <v>1.1506983468183832E-3</v>
      </c>
      <c r="G16" s="44">
        <f t="shared" si="1"/>
        <v>1.332549966282995E-4</v>
      </c>
    </row>
    <row r="17" spans="1:7" x14ac:dyDescent="0.25">
      <c r="A17" s="40" t="s">
        <v>292</v>
      </c>
      <c r="B17" s="41" t="s">
        <v>299</v>
      </c>
      <c r="C17" s="41" t="s">
        <v>300</v>
      </c>
      <c r="D17" s="42">
        <v>200</v>
      </c>
      <c r="E17" s="42">
        <f t="shared" si="0"/>
        <v>200</v>
      </c>
      <c r="F17" s="43">
        <f>E17/SUPUESTOS_PARAMETROS!$B$17</f>
        <v>9.2055867745470643E-2</v>
      </c>
      <c r="G17" s="44">
        <f t="shared" si="1"/>
        <v>1.066039973026396E-2</v>
      </c>
    </row>
    <row r="18" spans="1:7" x14ac:dyDescent="0.25">
      <c r="A18" s="40" t="s">
        <v>292</v>
      </c>
      <c r="B18" s="41" t="s">
        <v>301</v>
      </c>
      <c r="C18" s="41" t="s">
        <v>302</v>
      </c>
      <c r="D18" s="42">
        <f>10*SUPUESTOS_PARAMETROS!B14</f>
        <v>260</v>
      </c>
      <c r="E18" s="42">
        <f t="shared" si="0"/>
        <v>260</v>
      </c>
      <c r="F18" s="43">
        <f>E18/SUPUESTOS_PARAMETROS!$B$17</f>
        <v>0.11967262806911184</v>
      </c>
      <c r="G18" s="44">
        <f t="shared" si="1"/>
        <v>1.3858519649343147E-2</v>
      </c>
    </row>
    <row r="19" spans="1:7" x14ac:dyDescent="0.25">
      <c r="A19" s="40" t="s">
        <v>292</v>
      </c>
      <c r="B19" s="41" t="s">
        <v>303</v>
      </c>
      <c r="C19" s="41" t="s">
        <v>304</v>
      </c>
      <c r="D19" s="42">
        <f>150/12</f>
        <v>12.5</v>
      </c>
      <c r="E19" s="42">
        <f t="shared" si="0"/>
        <v>12.5</v>
      </c>
      <c r="F19" s="43">
        <f>E19/SUPUESTOS_PARAMETROS!$B$17</f>
        <v>5.7534917340919152E-3</v>
      </c>
      <c r="G19" s="44">
        <f t="shared" si="1"/>
        <v>6.6627498314149748E-4</v>
      </c>
    </row>
    <row r="20" spans="1:7" x14ac:dyDescent="0.25">
      <c r="A20" s="40" t="s">
        <v>305</v>
      </c>
      <c r="B20" s="41" t="s">
        <v>306</v>
      </c>
      <c r="C20" s="41" t="s">
        <v>307</v>
      </c>
      <c r="D20" s="42">
        <v>150</v>
      </c>
      <c r="E20" s="42">
        <f t="shared" si="0"/>
        <v>150</v>
      </c>
      <c r="F20" s="43">
        <f>E20/SUPUESTOS_PARAMETROS!$B$17</f>
        <v>6.9041900809102982E-2</v>
      </c>
      <c r="G20" s="44">
        <f t="shared" si="1"/>
        <v>7.9952997976979693E-3</v>
      </c>
    </row>
    <row r="21" spans="1:7" x14ac:dyDescent="0.25">
      <c r="A21" s="76" t="s">
        <v>308</v>
      </c>
      <c r="B21" s="77"/>
      <c r="C21" s="77"/>
      <c r="D21" s="77"/>
      <c r="E21" s="37">
        <f>SUM(E11:E20)</f>
        <v>6421.6402114034663</v>
      </c>
      <c r="F21" s="38">
        <f>E21/SUPUESTOS_PARAMETROS!B17</f>
        <v>2.9557483100497683</v>
      </c>
      <c r="G21" s="39">
        <f t="shared" si="1"/>
        <v>0.34228625788748857</v>
      </c>
    </row>
    <row r="23" spans="1:7" x14ac:dyDescent="0.25">
      <c r="A23" s="76" t="s">
        <v>309</v>
      </c>
      <c r="B23" s="77"/>
      <c r="C23" s="77"/>
      <c r="D23" s="77"/>
      <c r="E23" s="24">
        <f>E8+E21</f>
        <v>15289.722575187043</v>
      </c>
      <c r="F23" s="38">
        <f>E23/SUPUESTOS_PARAMETROS!B17</f>
        <v>7.0375433962317766</v>
      </c>
      <c r="G23" s="39">
        <f>E23/$E$32</f>
        <v>0.81497277208167362</v>
      </c>
    </row>
    <row r="25" spans="1:7" x14ac:dyDescent="0.25">
      <c r="A25" s="66" t="s">
        <v>310</v>
      </c>
      <c r="B25" s="67"/>
      <c r="C25" s="67"/>
      <c r="D25" s="67"/>
      <c r="E25" s="67"/>
      <c r="F25" s="67"/>
      <c r="G25" s="67"/>
    </row>
    <row r="26" spans="1:7" x14ac:dyDescent="0.25">
      <c r="A26" s="40" t="s">
        <v>311</v>
      </c>
      <c r="B26" s="41" t="s">
        <v>312</v>
      </c>
      <c r="C26" s="41" t="s">
        <v>313</v>
      </c>
      <c r="D26" s="42">
        <f>(SUPUESTOS_PARAMETROS!B33-SUPUESTOS_PARAMETROS!B34)/SUPUESTOS_PARAMETROS!B35</f>
        <v>1653</v>
      </c>
      <c r="E26" s="42">
        <f>D26</f>
        <v>1653</v>
      </c>
      <c r="F26" s="43">
        <f>E26/SUPUESTOS_PARAMETROS!$B$17</f>
        <v>0.7608417469163149</v>
      </c>
      <c r="G26" s="44">
        <f>E26/$E$32</f>
        <v>8.8108203770631624E-2</v>
      </c>
    </row>
    <row r="27" spans="1:7" x14ac:dyDescent="0.25">
      <c r="A27" s="40" t="s">
        <v>311</v>
      </c>
      <c r="B27" s="41" t="s">
        <v>314</v>
      </c>
      <c r="C27" s="41" t="s">
        <v>315</v>
      </c>
      <c r="D27" s="42">
        <f>(SUPUESTOS_PARAMETROS!B33-SUPUESTOS_PARAMETROS!B34)*SUPUESTOS_PARAMETROS!B36/12</f>
        <v>1818.3</v>
      </c>
      <c r="E27" s="42">
        <f>D27</f>
        <v>1818.3</v>
      </c>
      <c r="F27" s="43">
        <f>E27/SUPUESTOS_PARAMETROS!$B$17</f>
        <v>0.83692592160794632</v>
      </c>
      <c r="G27" s="44">
        <f>E27/$E$32</f>
        <v>9.6919024147694779E-2</v>
      </c>
    </row>
    <row r="28" spans="1:7" x14ac:dyDescent="0.25">
      <c r="A28" s="76" t="s">
        <v>316</v>
      </c>
      <c r="B28" s="77"/>
      <c r="C28" s="77"/>
      <c r="D28" s="77"/>
      <c r="E28" s="37">
        <f>SUM(E26:E27)</f>
        <v>3471.3</v>
      </c>
      <c r="F28" s="38">
        <f>E28/SUPUESTOS_PARAMETROS!B17</f>
        <v>1.5977676685242614</v>
      </c>
      <c r="G28" s="39">
        <f>E28/$E$32</f>
        <v>0.18502722791832643</v>
      </c>
    </row>
    <row r="30" spans="1:7" x14ac:dyDescent="0.25">
      <c r="A30" s="76" t="s">
        <v>317</v>
      </c>
      <c r="B30" s="77"/>
      <c r="C30" s="77"/>
      <c r="D30" s="77"/>
      <c r="E30" s="15">
        <f>E23+E28</f>
        <v>18761.022575187042</v>
      </c>
      <c r="F30" s="38">
        <f>E30/SUPUESTOS_PARAMETROS!B17</f>
        <v>8.6353110647560367</v>
      </c>
      <c r="G30" s="39">
        <f>1</f>
        <v>1</v>
      </c>
    </row>
    <row r="32" spans="1:7" x14ac:dyDescent="0.25">
      <c r="A32" s="78" t="s">
        <v>318</v>
      </c>
      <c r="B32" s="67"/>
      <c r="C32" s="67"/>
      <c r="D32" s="67"/>
      <c r="E32" s="46">
        <f>E30</f>
        <v>18761.022575187042</v>
      </c>
      <c r="F32" s="47">
        <f>E30/SUPUESTOS_PARAMETROS!B19</f>
        <v>2.68177867170398</v>
      </c>
      <c r="G32" s="48" t="s">
        <v>319</v>
      </c>
    </row>
  </sheetData>
  <mergeCells count="11">
    <mergeCell ref="A30:D30"/>
    <mergeCell ref="A2:G2"/>
    <mergeCell ref="A25:G25"/>
    <mergeCell ref="A28:D28"/>
    <mergeCell ref="A32:D32"/>
    <mergeCell ref="A10:G10"/>
    <mergeCell ref="A23:D23"/>
    <mergeCell ref="A8:D8"/>
    <mergeCell ref="A1:G1"/>
    <mergeCell ref="A21:D21"/>
    <mergeCell ref="A4:G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1"/>
  <sheetViews>
    <sheetView workbookViewId="0">
      <selection activeCell="F6" sqref="F6"/>
    </sheetView>
  </sheetViews>
  <sheetFormatPr baseColWidth="10" defaultColWidth="9.140625" defaultRowHeight="15" x14ac:dyDescent="0.25"/>
  <cols>
    <col min="1" max="1" width="24.28515625" customWidth="1"/>
    <col min="2" max="3" width="12.140625" customWidth="1"/>
    <col min="4" max="4" width="11.5703125" customWidth="1"/>
    <col min="5" max="6" width="13.5703125" customWidth="1"/>
    <col min="7" max="7" width="12.42578125" customWidth="1"/>
    <col min="8" max="8" width="13.28515625" customWidth="1"/>
    <col min="9" max="10" width="16" customWidth="1"/>
    <col min="11" max="11" width="28" customWidth="1"/>
  </cols>
  <sheetData>
    <row r="1" spans="1:11" ht="18.75" x14ac:dyDescent="0.25">
      <c r="A1" s="69" t="s">
        <v>320</v>
      </c>
      <c r="B1" s="67"/>
      <c r="C1" s="67"/>
      <c r="D1" s="67"/>
      <c r="E1" s="67"/>
      <c r="F1" s="67"/>
      <c r="G1" s="67"/>
      <c r="H1" s="67"/>
      <c r="I1" s="67"/>
      <c r="J1" s="67"/>
      <c r="K1" s="67"/>
    </row>
    <row r="2" spans="1:11" x14ac:dyDescent="0.25">
      <c r="A2" s="74" t="s">
        <v>321</v>
      </c>
      <c r="B2" s="67"/>
      <c r="C2" s="67"/>
      <c r="D2" s="67"/>
      <c r="E2" s="67"/>
      <c r="F2" s="67"/>
      <c r="G2" s="67"/>
      <c r="H2" s="67"/>
      <c r="I2" s="67"/>
      <c r="J2" s="67"/>
      <c r="K2" s="67"/>
    </row>
    <row r="4" spans="1:11" ht="24" x14ac:dyDescent="0.25">
      <c r="A4" s="80" t="s">
        <v>19</v>
      </c>
      <c r="B4" s="80" t="s">
        <v>20</v>
      </c>
      <c r="C4" s="80" t="s">
        <v>322</v>
      </c>
      <c r="D4" s="80" t="s">
        <v>47</v>
      </c>
      <c r="E4" s="80" t="s">
        <v>323</v>
      </c>
      <c r="F4" s="80" t="s">
        <v>324</v>
      </c>
      <c r="G4" s="80" t="s">
        <v>325</v>
      </c>
      <c r="H4" s="80" t="s">
        <v>326</v>
      </c>
      <c r="I4" s="80" t="s">
        <v>327</v>
      </c>
      <c r="J4" s="80" t="s">
        <v>328</v>
      </c>
      <c r="K4" s="80" t="s">
        <v>329</v>
      </c>
    </row>
    <row r="5" spans="1:11" x14ac:dyDescent="0.25">
      <c r="A5" s="6" t="s">
        <v>330</v>
      </c>
      <c r="B5" s="7">
        <v>0.57999999999999996</v>
      </c>
      <c r="C5" s="22">
        <f>B5*SUPUESTOS_PARAMETROS!$B$13</f>
        <v>154030.01999999999</v>
      </c>
      <c r="D5" s="8">
        <v>4.5</v>
      </c>
      <c r="E5" s="9">
        <f>COSTOS_OPERACION_COV!$F$32*(D5/$D$11)</f>
        <v>3.4430824601049679</v>
      </c>
      <c r="F5" s="8">
        <v>3.5</v>
      </c>
      <c r="G5" s="9">
        <f t="shared" ref="G5:G11" si="0">F5-E5</f>
        <v>5.6917539895032121E-2</v>
      </c>
      <c r="H5" s="22">
        <f>C5*SUPUESTOS_PARAMETROS!$B$14</f>
        <v>4004780.5199999996</v>
      </c>
      <c r="I5" s="8">
        <f t="shared" ref="I5:I10" si="1">H5*D5</f>
        <v>18021512.339999996</v>
      </c>
      <c r="J5" s="8">
        <f t="shared" ref="J5:J10" si="2">H5*F5</f>
        <v>14016731.819999998</v>
      </c>
      <c r="K5" s="6" t="s">
        <v>331</v>
      </c>
    </row>
    <row r="6" spans="1:11" x14ac:dyDescent="0.25">
      <c r="A6" s="6" t="s">
        <v>332</v>
      </c>
      <c r="B6" s="7">
        <v>7.0000000000000007E-2</v>
      </c>
      <c r="C6" s="22">
        <f>B6*SUPUESTOS_PARAMETROS!$B$13</f>
        <v>18589.830000000002</v>
      </c>
      <c r="D6" s="8">
        <v>3.5</v>
      </c>
      <c r="E6" s="9">
        <f>COSTOS_OPERACION_COV!$F$32*(D6/$D$11)</f>
        <v>2.6779530245260861</v>
      </c>
      <c r="F6" s="8">
        <v>3</v>
      </c>
      <c r="G6" s="9">
        <f t="shared" si="0"/>
        <v>0.32204697547391392</v>
      </c>
      <c r="H6" s="22">
        <f>C6*SUPUESTOS_PARAMETROS!$B$14</f>
        <v>483335.58000000007</v>
      </c>
      <c r="I6" s="8">
        <f t="shared" si="1"/>
        <v>1691674.5300000003</v>
      </c>
      <c r="J6" s="8">
        <f t="shared" si="2"/>
        <v>1450006.7400000002</v>
      </c>
      <c r="K6" s="6" t="s">
        <v>333</v>
      </c>
    </row>
    <row r="7" spans="1:11" x14ac:dyDescent="0.25">
      <c r="A7" s="6" t="s">
        <v>334</v>
      </c>
      <c r="B7" s="7">
        <v>0.18</v>
      </c>
      <c r="C7" s="22">
        <f>B7*SUPUESTOS_PARAMETROS!$B$13</f>
        <v>47802.42</v>
      </c>
      <c r="D7" s="8">
        <v>2.5</v>
      </c>
      <c r="E7" s="9">
        <f>COSTOS_OPERACION_COV!$F$32*(D7/$D$11)</f>
        <v>1.9128235889472043</v>
      </c>
      <c r="F7" s="8">
        <v>2</v>
      </c>
      <c r="G7" s="9">
        <f t="shared" si="0"/>
        <v>8.7176411052795721E-2</v>
      </c>
      <c r="H7" s="22">
        <f>C7*SUPUESTOS_PARAMETROS!$B$14</f>
        <v>1242862.92</v>
      </c>
      <c r="I7" s="8">
        <f t="shared" si="1"/>
        <v>3107157.3</v>
      </c>
      <c r="J7" s="8">
        <f t="shared" si="2"/>
        <v>2485725.84</v>
      </c>
      <c r="K7" s="6" t="s">
        <v>335</v>
      </c>
    </row>
    <row r="8" spans="1:11" x14ac:dyDescent="0.25">
      <c r="A8" s="6" t="s">
        <v>336</v>
      </c>
      <c r="B8" s="7">
        <v>0.1</v>
      </c>
      <c r="C8" s="22">
        <f>B8*SUPUESTOS_PARAMETROS!$B$13</f>
        <v>26556.9</v>
      </c>
      <c r="D8" s="8">
        <v>1.5</v>
      </c>
      <c r="E8" s="9">
        <f>COSTOS_OPERACION_COV!$F$32*(D8/$D$11)</f>
        <v>1.1476941533683225</v>
      </c>
      <c r="F8" s="8">
        <v>1.5</v>
      </c>
      <c r="G8" s="9">
        <f t="shared" si="0"/>
        <v>0.35230584663167752</v>
      </c>
      <c r="H8" s="22">
        <f>C8*SUPUESTOS_PARAMETROS!$B$14</f>
        <v>690479.4</v>
      </c>
      <c r="I8" s="8">
        <f t="shared" si="1"/>
        <v>1035719.1000000001</v>
      </c>
      <c r="J8" s="8">
        <f t="shared" si="2"/>
        <v>1035719.1000000001</v>
      </c>
      <c r="K8" s="6" t="s">
        <v>337</v>
      </c>
    </row>
    <row r="9" spans="1:11" x14ac:dyDescent="0.25">
      <c r="A9" s="6" t="s">
        <v>338</v>
      </c>
      <c r="B9" s="7">
        <v>0.05</v>
      </c>
      <c r="C9" s="22">
        <f>B9*SUPUESTOS_PARAMETROS!$B$13</f>
        <v>13278.45</v>
      </c>
      <c r="D9" s="8">
        <v>1</v>
      </c>
      <c r="E9" s="9">
        <f>COSTOS_OPERACION_COV!$F$32*(D9/$D$11)</f>
        <v>0.7651294355788818</v>
      </c>
      <c r="F9" s="8">
        <v>1</v>
      </c>
      <c r="G9" s="9">
        <f t="shared" si="0"/>
        <v>0.2348705644211182</v>
      </c>
      <c r="H9" s="22">
        <f>C9*SUPUESTOS_PARAMETROS!$B$14</f>
        <v>345239.7</v>
      </c>
      <c r="I9" s="8">
        <f t="shared" si="1"/>
        <v>345239.7</v>
      </c>
      <c r="J9" s="8">
        <f t="shared" si="2"/>
        <v>345239.7</v>
      </c>
      <c r="K9" s="6" t="s">
        <v>339</v>
      </c>
    </row>
    <row r="10" spans="1:11" x14ac:dyDescent="0.25">
      <c r="A10" s="6" t="s">
        <v>340</v>
      </c>
      <c r="B10" s="7">
        <v>0.02</v>
      </c>
      <c r="C10" s="22">
        <f>B10*SUPUESTOS_PARAMETROS!$B$13</f>
        <v>5311.38</v>
      </c>
      <c r="D10" s="8">
        <v>0</v>
      </c>
      <c r="E10" s="9">
        <f>COSTOS_OPERACION_COV!$F$32*(D10/$D$11)</f>
        <v>0</v>
      </c>
      <c r="F10" s="8">
        <v>0</v>
      </c>
      <c r="G10" s="9">
        <f t="shared" si="0"/>
        <v>0</v>
      </c>
      <c r="H10" s="22">
        <f>C10*SUPUESTOS_PARAMETROS!$B$14</f>
        <v>138095.88</v>
      </c>
      <c r="I10" s="8">
        <f t="shared" si="1"/>
        <v>0</v>
      </c>
      <c r="J10" s="8">
        <f t="shared" si="2"/>
        <v>0</v>
      </c>
      <c r="K10" s="6" t="s">
        <v>341</v>
      </c>
    </row>
    <row r="11" spans="1:11" x14ac:dyDescent="0.25">
      <c r="A11" s="11" t="s">
        <v>342</v>
      </c>
      <c r="B11" s="12">
        <f>SUM(B5:B10)</f>
        <v>0.99999999999999989</v>
      </c>
      <c r="C11" s="49">
        <f>SUM(C5:C10)</f>
        <v>265568.99999999994</v>
      </c>
      <c r="D11" s="13">
        <f>SUMPRODUCT(B5:B10,D5:D10)</f>
        <v>3.5049999999999994</v>
      </c>
      <c r="E11" s="14">
        <f>COSTOS_OPERACION_COV!$F$32</f>
        <v>2.68177867170398</v>
      </c>
      <c r="F11" s="13">
        <f>SUMPRODUCT(B5:B10,F5:F10)</f>
        <v>2.7999999999999994</v>
      </c>
      <c r="G11" s="14">
        <f t="shared" si="0"/>
        <v>0.11822132829601939</v>
      </c>
      <c r="H11" s="49">
        <f>SUM(H5:H10)</f>
        <v>6904794</v>
      </c>
      <c r="I11" s="15">
        <f>SUM(I5:I10)</f>
        <v>24201302.969999999</v>
      </c>
      <c r="J11" s="15">
        <f>SUM(J5:J10)</f>
        <v>19333423.199999999</v>
      </c>
      <c r="K11" s="16" t="s">
        <v>343</v>
      </c>
    </row>
  </sheetData>
  <mergeCells count="2">
    <mergeCell ref="A2:K2"/>
    <mergeCell ref="A1:K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6"/>
  <sheetViews>
    <sheetView topLeftCell="A13" workbookViewId="0">
      <selection activeCell="D22" sqref="D22"/>
    </sheetView>
  </sheetViews>
  <sheetFormatPr baseColWidth="10" defaultColWidth="9.140625" defaultRowHeight="15" x14ac:dyDescent="0.25"/>
  <cols>
    <col min="1" max="1" width="44" customWidth="1"/>
    <col min="2" max="5" width="18" customWidth="1"/>
    <col min="6" max="6" width="24" customWidth="1"/>
  </cols>
  <sheetData>
    <row r="1" spans="1:6" ht="18.75" x14ac:dyDescent="0.25">
      <c r="A1" s="69" t="s">
        <v>344</v>
      </c>
      <c r="B1" s="67"/>
      <c r="C1" s="67"/>
      <c r="D1" s="67"/>
      <c r="E1" s="67"/>
      <c r="F1" s="67"/>
    </row>
    <row r="2" spans="1:6" x14ac:dyDescent="0.25">
      <c r="A2" s="74" t="s">
        <v>345</v>
      </c>
      <c r="B2" s="67"/>
      <c r="C2" s="67"/>
      <c r="D2" s="67"/>
      <c r="E2" s="67"/>
      <c r="F2" s="67"/>
    </row>
    <row r="4" spans="1:6" x14ac:dyDescent="0.25">
      <c r="A4" s="5" t="s">
        <v>46</v>
      </c>
      <c r="B4" s="5" t="s">
        <v>346</v>
      </c>
      <c r="C4" s="5" t="s">
        <v>347</v>
      </c>
      <c r="D4" s="5" t="s">
        <v>348</v>
      </c>
      <c r="E4" s="5" t="s">
        <v>349</v>
      </c>
      <c r="F4" s="5" t="s">
        <v>350</v>
      </c>
    </row>
    <row r="5" spans="1:6" x14ac:dyDescent="0.25">
      <c r="A5" s="6" t="s">
        <v>351</v>
      </c>
      <c r="B5" s="9">
        <f>TARIFAS_CATEGORIA!D11</f>
        <v>3.5049999999999994</v>
      </c>
      <c r="C5" s="9">
        <f>TARIFAS_CATEGORIA!E11</f>
        <v>2.68177867170398</v>
      </c>
      <c r="D5" s="9">
        <f>TARIFAS_CATEGORIA!F11</f>
        <v>2.7999999999999994</v>
      </c>
      <c r="E5" s="9">
        <f>TARIFAS_CATEGORIA!D11</f>
        <v>3.5049999999999994</v>
      </c>
      <c r="F5" s="6" t="s">
        <v>352</v>
      </c>
    </row>
    <row r="6" spans="1:6" x14ac:dyDescent="0.25">
      <c r="A6" s="6" t="s">
        <v>212</v>
      </c>
      <c r="B6" s="8">
        <f>SUPUESTOS_PARAMETROS!B17</f>
        <v>2172.5937183383994</v>
      </c>
      <c r="C6" s="8">
        <f>SUPUESTOS_PARAMETROS!B17</f>
        <v>2172.5937183383994</v>
      </c>
      <c r="D6" s="8">
        <f>SUPUESTOS_PARAMETROS!B17</f>
        <v>2172.5937183383994</v>
      </c>
      <c r="E6" s="8">
        <f>SUPUESTOS_PARAMETROS!B17</f>
        <v>2172.5937183383994</v>
      </c>
      <c r="F6" s="6" t="s">
        <v>352</v>
      </c>
    </row>
    <row r="7" spans="1:6" x14ac:dyDescent="0.25">
      <c r="A7" s="6" t="s">
        <v>218</v>
      </c>
      <c r="B7" s="22">
        <f>SUPUESTOS_PARAMETROS!B19</f>
        <v>6995.7386018237075</v>
      </c>
      <c r="C7" s="22">
        <f>SUPUESTOS_PARAMETROS!B19</f>
        <v>6995.7386018237075</v>
      </c>
      <c r="D7" s="22">
        <f>SUPUESTOS_PARAMETROS!B19</f>
        <v>6995.7386018237075</v>
      </c>
      <c r="E7" s="22">
        <f>SUPUESTOS_PARAMETROS!B19*0.9</f>
        <v>6296.1647416413371</v>
      </c>
      <c r="F7" s="6" t="s">
        <v>352</v>
      </c>
    </row>
    <row r="8" spans="1:6" x14ac:dyDescent="0.25">
      <c r="A8" s="6" t="s">
        <v>353</v>
      </c>
      <c r="B8" s="8">
        <f>B5*B7</f>
        <v>24520.06379939209</v>
      </c>
      <c r="C8" s="8">
        <f>C5*C7</f>
        <v>18761.022575187042</v>
      </c>
      <c r="D8" s="8">
        <f>D5*D7</f>
        <v>19588.068085106377</v>
      </c>
      <c r="E8" s="8">
        <f>E5*E7</f>
        <v>22068.057419452882</v>
      </c>
      <c r="F8" s="6" t="s">
        <v>352</v>
      </c>
    </row>
    <row r="9" spans="1:6" x14ac:dyDescent="0.25">
      <c r="A9" s="6" t="s">
        <v>354</v>
      </c>
      <c r="B9" s="8">
        <f>COSTOS_OPERACION_COV!E6</f>
        <v>8154.1392419637104</v>
      </c>
      <c r="C9" s="8">
        <f>COSTOS_OPERACION_COV!E6</f>
        <v>8154.1392419637104</v>
      </c>
      <c r="D9" s="8">
        <f>COSTOS_OPERACION_COV!E6</f>
        <v>8154.1392419637104</v>
      </c>
      <c r="E9" s="8">
        <f>COSTOS_OPERACION_COV!E6*1.15</f>
        <v>9377.2601282582655</v>
      </c>
      <c r="F9" s="6" t="s">
        <v>352</v>
      </c>
    </row>
    <row r="10" spans="1:6" x14ac:dyDescent="0.25">
      <c r="A10" s="6" t="s">
        <v>355</v>
      </c>
      <c r="B10" s="8">
        <f>SUPUESTOS_PARAMETROS!B30</f>
        <v>2840.1666666666665</v>
      </c>
      <c r="C10" s="8">
        <f>SUPUESTOS_PARAMETROS!B30</f>
        <v>2840.1666666666665</v>
      </c>
      <c r="D10" s="8">
        <f>SUPUESTOS_PARAMETROS!B30</f>
        <v>2840.1666666666665</v>
      </c>
      <c r="E10" s="8">
        <f>SUPUESTOS_PARAMETROS!B30</f>
        <v>2840.1666666666665</v>
      </c>
      <c r="F10" s="6" t="s">
        <v>352</v>
      </c>
    </row>
    <row r="11" spans="1:6" x14ac:dyDescent="0.25">
      <c r="A11" s="6" t="s">
        <v>356</v>
      </c>
      <c r="B11" s="8">
        <f>COSTOS_OPERACION_COV!E12+COSTOS_OPERACION_COV!E13</f>
        <v>3574.9999998900003</v>
      </c>
      <c r="C11" s="8">
        <f>COSTOS_OPERACION_COV!E12+COSTOS_OPERACION_COV!E13</f>
        <v>3574.9999998900003</v>
      </c>
      <c r="D11" s="8">
        <f>COSTOS_OPERACION_COV!E12+COSTOS_OPERACION_COV!E13</f>
        <v>3574.9999998900003</v>
      </c>
      <c r="E11" s="8">
        <f>COSTOS_OPERACION_COV!E12+COSTOS_OPERACION_COV!E13</f>
        <v>3574.9999998900003</v>
      </c>
      <c r="F11" s="6" t="s">
        <v>352</v>
      </c>
    </row>
    <row r="12" spans="1:6" x14ac:dyDescent="0.25">
      <c r="A12" s="6" t="s">
        <v>357</v>
      </c>
      <c r="B12" s="8">
        <f>SUM(COSTOS_OPERACION_COV!E14:E20)</f>
        <v>720.41666666666674</v>
      </c>
      <c r="C12" s="8">
        <f>SUM(COSTOS_OPERACION_COV!E14:E20)</f>
        <v>720.41666666666674</v>
      </c>
      <c r="D12" s="8">
        <f>SUM(COSTOS_OPERACION_COV!E14:E20)</f>
        <v>720.41666666666674</v>
      </c>
      <c r="E12" s="8">
        <f>SUM(COSTOS_OPERACION_COV!E14:E20)</f>
        <v>720.41666666666674</v>
      </c>
      <c r="F12" s="6" t="s">
        <v>352</v>
      </c>
    </row>
    <row r="13" spans="1:6" x14ac:dyDescent="0.25">
      <c r="A13" s="50" t="s">
        <v>358</v>
      </c>
      <c r="B13" s="51">
        <f>SUM(B9:B12)</f>
        <v>15289.722575187043</v>
      </c>
      <c r="C13" s="51">
        <f>SUM(C9:C12)</f>
        <v>15289.722575187043</v>
      </c>
      <c r="D13" s="51">
        <f>SUM(D9:D12)</f>
        <v>15289.722575187043</v>
      </c>
      <c r="E13" s="51">
        <f>SUM(E9:E12)</f>
        <v>16512.8434614816</v>
      </c>
      <c r="F13" s="52" t="s">
        <v>352</v>
      </c>
    </row>
    <row r="14" spans="1:6" x14ac:dyDescent="0.25">
      <c r="A14" s="25" t="s">
        <v>359</v>
      </c>
      <c r="B14" s="53">
        <f>B8-B13</f>
        <v>9230.3412242050472</v>
      </c>
      <c r="C14" s="53">
        <f>C8-C13</f>
        <v>3471.2999999999993</v>
      </c>
      <c r="D14" s="53">
        <f>D8-D13</f>
        <v>4298.3455099193343</v>
      </c>
      <c r="E14" s="53">
        <f>E8-E13</f>
        <v>5555.2139579712821</v>
      </c>
      <c r="F14" s="6" t="s">
        <v>352</v>
      </c>
    </row>
    <row r="15" spans="1:6" x14ac:dyDescent="0.25">
      <c r="A15" s="6" t="s">
        <v>360</v>
      </c>
      <c r="B15" s="8">
        <v>0</v>
      </c>
      <c r="C15" s="8">
        <v>0</v>
      </c>
      <c r="D15" s="8">
        <v>0</v>
      </c>
      <c r="E15" s="8">
        <v>0</v>
      </c>
      <c r="F15" s="6" t="s">
        <v>352</v>
      </c>
    </row>
    <row r="16" spans="1:6" x14ac:dyDescent="0.25">
      <c r="A16" s="6" t="s">
        <v>361</v>
      </c>
      <c r="B16" s="8">
        <f>B14-B15</f>
        <v>9230.3412242050472</v>
      </c>
      <c r="C16" s="8">
        <f>C14-C15</f>
        <v>3471.2999999999993</v>
      </c>
      <c r="D16" s="8">
        <f>D14-D15</f>
        <v>4298.3455099193343</v>
      </c>
      <c r="E16" s="8">
        <f>E14-E15</f>
        <v>5555.2139579712821</v>
      </c>
      <c r="F16" s="6" t="s">
        <v>352</v>
      </c>
    </row>
    <row r="17" spans="1:6" x14ac:dyDescent="0.25">
      <c r="A17" s="6" t="s">
        <v>362</v>
      </c>
      <c r="B17" s="8">
        <f>COSTOS_OPERACION_COV!E26</f>
        <v>1653</v>
      </c>
      <c r="C17" s="8">
        <f>COSTOS_OPERACION_COV!E26</f>
        <v>1653</v>
      </c>
      <c r="D17" s="8">
        <f>COSTOS_OPERACION_COV!E26</f>
        <v>1653</v>
      </c>
      <c r="E17" s="8">
        <f>COSTOS_OPERACION_COV!E26</f>
        <v>1653</v>
      </c>
      <c r="F17" s="6" t="s">
        <v>352</v>
      </c>
    </row>
    <row r="18" spans="1:6" x14ac:dyDescent="0.25">
      <c r="A18" s="25" t="s">
        <v>363</v>
      </c>
      <c r="B18" s="53">
        <f>B16-B17</f>
        <v>7577.3412242050472</v>
      </c>
      <c r="C18" s="53">
        <f>C16-C17</f>
        <v>1818.2999999999993</v>
      </c>
      <c r="D18" s="53">
        <f>D16-D17</f>
        <v>2645.3455099193343</v>
      </c>
      <c r="E18" s="53">
        <f>E16-E17</f>
        <v>3902.2139579712821</v>
      </c>
      <c r="F18" s="6" t="s">
        <v>352</v>
      </c>
    </row>
    <row r="19" spans="1:6" x14ac:dyDescent="0.25">
      <c r="A19" s="6" t="s">
        <v>364</v>
      </c>
      <c r="B19" s="8">
        <f>COSTOS_OPERACION_COV!E27</f>
        <v>1818.3</v>
      </c>
      <c r="C19" s="8">
        <f>COSTOS_OPERACION_COV!E27</f>
        <v>1818.3</v>
      </c>
      <c r="D19" s="8">
        <f>COSTOS_OPERACION_COV!E27</f>
        <v>1818.3</v>
      </c>
      <c r="E19" s="8">
        <f>COSTOS_OPERACION_COV!E27</f>
        <v>1818.3</v>
      </c>
      <c r="F19" s="6" t="s">
        <v>352</v>
      </c>
    </row>
    <row r="20" spans="1:6" x14ac:dyDescent="0.25">
      <c r="A20" s="54" t="s">
        <v>365</v>
      </c>
      <c r="B20" s="55">
        <f>B18-B19</f>
        <v>5759.041224205047</v>
      </c>
      <c r="C20" s="55">
        <f>C18-C19</f>
        <v>0</v>
      </c>
      <c r="D20" s="55">
        <f>D18-D19</f>
        <v>827.04550991933434</v>
      </c>
      <c r="E20" s="55">
        <f>E18-E19</f>
        <v>2083.9139579712819</v>
      </c>
      <c r="F20" s="56" t="s">
        <v>352</v>
      </c>
    </row>
    <row r="21" spans="1:6" x14ac:dyDescent="0.25">
      <c r="A21" s="6" t="s">
        <v>366</v>
      </c>
      <c r="B21" s="8">
        <f>B11</f>
        <v>3574.9999998900003</v>
      </c>
      <c r="C21" s="8">
        <f>C11</f>
        <v>3574.9999998900003</v>
      </c>
      <c r="D21" s="8">
        <f>D11</f>
        <v>3574.9999998900003</v>
      </c>
      <c r="E21" s="8">
        <f>E11</f>
        <v>3574.9999998900003</v>
      </c>
      <c r="F21" s="6" t="s">
        <v>352</v>
      </c>
    </row>
    <row r="22" spans="1:6" x14ac:dyDescent="0.25">
      <c r="A22" s="20" t="s">
        <v>367</v>
      </c>
      <c r="B22" s="21">
        <f>B18+B21</f>
        <v>11152.341224095047</v>
      </c>
      <c r="C22" s="21">
        <f>C18+C21</f>
        <v>5393.2999998899995</v>
      </c>
      <c r="D22" s="21">
        <f>D18+D21</f>
        <v>6220.3455098093345</v>
      </c>
      <c r="E22" s="21">
        <f>E18+E21</f>
        <v>7477.2139578612823</v>
      </c>
      <c r="F22" s="57" t="s">
        <v>352</v>
      </c>
    </row>
    <row r="23" spans="1:6" x14ac:dyDescent="0.25">
      <c r="A23" s="6" t="s">
        <v>368</v>
      </c>
      <c r="B23" s="7">
        <f>(B19*12+B20*12)/SUPUESTOS_PARAMETROS!$B$33</f>
        <v>0.4583993481067784</v>
      </c>
      <c r="C23" s="7">
        <f>(C19*12+C20*12)/SUPUESTOS_PARAMETROS!$B$33</f>
        <v>0.10999999999999999</v>
      </c>
      <c r="D23" s="7">
        <f>(D19*12+D20*12)/SUPUESTOS_PARAMETROS!$B$33</f>
        <v>0.16003300120504141</v>
      </c>
      <c r="E23" s="7">
        <f>(E19*12+E20*12)/SUPUESTOS_PARAMETROS!$B$33</f>
        <v>0.23606859999826268</v>
      </c>
      <c r="F23" s="6" t="s">
        <v>352</v>
      </c>
    </row>
    <row r="24" spans="1:6" x14ac:dyDescent="0.25">
      <c r="A24" s="6" t="s">
        <v>369</v>
      </c>
      <c r="B24" s="22">
        <f>COSTOS_OPERACION_COV!$E$30/B5</f>
        <v>5352.645527870769</v>
      </c>
      <c r="C24" s="22">
        <f>COSTOS_OPERACION_COV!$E$30/C5</f>
        <v>6995.7386018237084</v>
      </c>
      <c r="D24" s="22">
        <f>COSTOS_OPERACION_COV!$E$30/D5</f>
        <v>6700.3652054239446</v>
      </c>
      <c r="E24" s="22">
        <f>COSTOS_OPERACION_COV!$E$30/E5</f>
        <v>5352.645527870769</v>
      </c>
      <c r="F24" s="6" t="s">
        <v>352</v>
      </c>
    </row>
    <row r="25" spans="1:6" x14ac:dyDescent="0.25">
      <c r="A25" s="6" t="s">
        <v>370</v>
      </c>
      <c r="B25" s="22">
        <f>B24/SUPUESTOS_PARAMETROS!$B$14</f>
        <v>205.87098184118344</v>
      </c>
      <c r="C25" s="22">
        <f>C24/SUPUESTOS_PARAMETROS!$B$14</f>
        <v>269.06686930091189</v>
      </c>
      <c r="D25" s="22">
        <f>D24/SUPUESTOS_PARAMETROS!$B$14</f>
        <v>257.70635405476708</v>
      </c>
      <c r="E25" s="22">
        <f>E24/SUPUESTOS_PARAMETROS!$B$14</f>
        <v>205.87098184118344</v>
      </c>
      <c r="F25" s="6" t="s">
        <v>352</v>
      </c>
    </row>
    <row r="26" spans="1:6" x14ac:dyDescent="0.25">
      <c r="A26" s="6" t="s">
        <v>371</v>
      </c>
      <c r="B26" s="9">
        <f>B24/B6</f>
        <v>2.463712144010282</v>
      </c>
      <c r="C26" s="9">
        <f>C24/C6</f>
        <v>3.2199939375568354</v>
      </c>
      <c r="D26" s="9">
        <f>D24/D6</f>
        <v>3.0840396659842995</v>
      </c>
      <c r="E26" s="9">
        <f>E24/E6</f>
        <v>2.463712144010282</v>
      </c>
      <c r="F26" s="6" t="s">
        <v>352</v>
      </c>
    </row>
  </sheetData>
  <mergeCells count="2">
    <mergeCell ref="A2:F2"/>
    <mergeCell ref="A1:F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9"/>
  <sheetViews>
    <sheetView topLeftCell="C1" workbookViewId="0">
      <selection activeCell="F6" sqref="F6"/>
    </sheetView>
  </sheetViews>
  <sheetFormatPr baseColWidth="10" defaultColWidth="9.140625" defaultRowHeight="15" x14ac:dyDescent="0.25"/>
  <cols>
    <col min="1" max="1" width="14" customWidth="1"/>
    <col min="2" max="2" width="13.140625" customWidth="1"/>
    <col min="3" max="3" width="16.140625" customWidth="1"/>
    <col min="4" max="4" width="11.85546875" customWidth="1"/>
    <col min="5" max="5" width="10.140625" customWidth="1"/>
    <col min="6" max="6" width="12" customWidth="1"/>
    <col min="7" max="8" width="9.42578125" customWidth="1"/>
    <col min="9" max="9" width="10.7109375" customWidth="1"/>
    <col min="10" max="10" width="10.85546875" customWidth="1"/>
    <col min="11" max="11" width="12.28515625" customWidth="1"/>
    <col min="12" max="12" width="12" customWidth="1"/>
    <col min="13" max="13" width="11.5703125" customWidth="1"/>
    <col min="14" max="14" width="10.7109375" customWidth="1"/>
    <col min="15" max="15" width="11.7109375" customWidth="1"/>
    <col min="16" max="16" width="12" customWidth="1"/>
    <col min="17" max="17" width="18" customWidth="1"/>
  </cols>
  <sheetData>
    <row r="1" spans="1:17" ht="18.75" x14ac:dyDescent="0.25">
      <c r="A1" s="69" t="s">
        <v>372</v>
      </c>
      <c r="B1" s="67"/>
      <c r="C1" s="67"/>
      <c r="D1" s="67"/>
      <c r="E1" s="67"/>
      <c r="F1" s="67"/>
      <c r="G1" s="67"/>
      <c r="H1" s="67"/>
      <c r="I1" s="67"/>
      <c r="J1" s="67"/>
      <c r="K1" s="67"/>
      <c r="L1" s="67"/>
      <c r="M1" s="67"/>
      <c r="N1" s="67"/>
      <c r="O1" s="67"/>
      <c r="P1" s="67"/>
      <c r="Q1" s="67"/>
    </row>
    <row r="2" spans="1:17" x14ac:dyDescent="0.25">
      <c r="A2" s="74" t="s">
        <v>373</v>
      </c>
      <c r="B2" s="67"/>
      <c r="C2" s="67"/>
      <c r="D2" s="67"/>
      <c r="E2" s="67"/>
      <c r="F2" s="67"/>
      <c r="G2" s="67"/>
      <c r="H2" s="67"/>
      <c r="I2" s="67"/>
      <c r="J2" s="67"/>
      <c r="K2" s="67"/>
      <c r="L2" s="67"/>
      <c r="M2" s="67"/>
      <c r="N2" s="67"/>
      <c r="O2" s="67"/>
      <c r="P2" s="67"/>
      <c r="Q2" s="67"/>
    </row>
    <row r="4" spans="1:17" x14ac:dyDescent="0.25">
      <c r="A4" s="45" t="s">
        <v>374</v>
      </c>
      <c r="B4" s="58">
        <f>SUPUESTOS_PARAMETROS!B15</f>
        <v>3</v>
      </c>
      <c r="D4" s="45" t="s">
        <v>375</v>
      </c>
      <c r="E4" s="46">
        <f>SUMPRODUCT(D7:D38,F7:F38)*B4</f>
        <v>82066.486510297516</v>
      </c>
      <c r="G4" s="45" t="s">
        <v>376</v>
      </c>
      <c r="H4" s="46">
        <f>SUPUESTOS_PARAMETROS!B12</f>
        <v>82475</v>
      </c>
      <c r="J4" s="45" t="s">
        <v>377</v>
      </c>
      <c r="K4" s="47">
        <f>H4/E4</f>
        <v>1.0049778357411612</v>
      </c>
    </row>
    <row r="6" spans="1:17" ht="23.25" customHeight="1" x14ac:dyDescent="0.25">
      <c r="A6" s="5" t="s">
        <v>182</v>
      </c>
      <c r="B6" s="80" t="s">
        <v>378</v>
      </c>
      <c r="C6" s="80" t="s">
        <v>379</v>
      </c>
      <c r="D6" s="80" t="s">
        <v>380</v>
      </c>
      <c r="E6" s="80" t="s">
        <v>381</v>
      </c>
      <c r="F6" s="80" t="s">
        <v>382</v>
      </c>
      <c r="G6" s="80" t="s">
        <v>188</v>
      </c>
      <c r="H6" s="80" t="s">
        <v>383</v>
      </c>
      <c r="I6" s="80" t="s">
        <v>384</v>
      </c>
      <c r="J6" s="80" t="s">
        <v>385</v>
      </c>
      <c r="K6" s="80" t="s">
        <v>386</v>
      </c>
      <c r="L6" s="80" t="s">
        <v>387</v>
      </c>
      <c r="M6" s="80" t="s">
        <v>388</v>
      </c>
      <c r="N6" s="80" t="s">
        <v>389</v>
      </c>
      <c r="O6" s="80" t="s">
        <v>390</v>
      </c>
      <c r="P6" s="80" t="s">
        <v>391</v>
      </c>
      <c r="Q6" s="80" t="s">
        <v>392</v>
      </c>
    </row>
    <row r="7" spans="1:17" x14ac:dyDescent="0.25">
      <c r="A7" s="19">
        <v>1</v>
      </c>
      <c r="B7" s="6" t="s">
        <v>393</v>
      </c>
      <c r="C7" s="6" t="s">
        <v>394</v>
      </c>
      <c r="D7" s="81">
        <v>15.49</v>
      </c>
      <c r="E7" s="81">
        <v>27</v>
      </c>
      <c r="F7" s="81">
        <v>30.4908466819222</v>
      </c>
      <c r="G7" s="81">
        <f t="shared" ref="G7:G38" si="0">$B$4</f>
        <v>3</v>
      </c>
      <c r="H7" s="81">
        <f t="shared" ref="H7:H38" si="1">$K$4</f>
        <v>1.0049778357411612</v>
      </c>
      <c r="I7" s="81">
        <f>D7*G7*H7*SUPUESTOS_PARAMETROS!$B$14</f>
        <v>1214.2343206991857</v>
      </c>
      <c r="J7" s="81">
        <f>I7*SUPUESTOS_PARAMETROS!$B$20</f>
        <v>3909.8271514248199</v>
      </c>
      <c r="K7" s="81">
        <f>J7*TARIFAS_CATEGORIA!$D$11</f>
        <v>13703.944165743991</v>
      </c>
      <c r="L7" s="81">
        <f>J7*TARIFAS_CATEGORIA!$F$11</f>
        <v>10947.516023989494</v>
      </c>
      <c r="M7" s="81">
        <f>(I7/SUPUESTOS_PARAMETROS!$B$27)*SUPUESTOS_PARAMETROS!$B$29*(1+SUPUESTOS_PARAMETROS!$B$28)+COSTOS_OPERACION_COV!$E$7*(I7/SUPUESTOS_PARAMETROS!$B$17)+COSTOS_OPERACION_COV!$E$11+COSTOS_OPERACION_COV!$E$12+COSTOS_OPERACION_COV!$E$13+SUM(COSTOS_OPERACION_COV!$E$14:$E$20)</f>
        <v>11377.895895106951</v>
      </c>
      <c r="N7" s="81">
        <f>COSTOS_OPERACION_COV!$E$26</f>
        <v>1653</v>
      </c>
      <c r="O7" s="81">
        <f>K7-M7-N7-COSTOS_OPERACION_COV!$E$27</f>
        <v>-1145.2517293629596</v>
      </c>
      <c r="P7" s="81">
        <f>L7-M7-N7-COSTOS_OPERACION_COV!$E$27</f>
        <v>-3901.679871117457</v>
      </c>
      <c r="Q7" s="19" t="str">
        <f t="shared" ref="Q7:Q38" si="2">IF(O7&gt;=0,"CUBRE COSTO","DÉFICIT")</f>
        <v>DÉFICIT</v>
      </c>
    </row>
    <row r="8" spans="1:17" x14ac:dyDescent="0.25">
      <c r="A8" s="19">
        <v>2</v>
      </c>
      <c r="B8" s="6" t="s">
        <v>393</v>
      </c>
      <c r="C8" s="6" t="s">
        <v>395</v>
      </c>
      <c r="D8" s="81">
        <v>29.24</v>
      </c>
      <c r="E8" s="81">
        <v>23</v>
      </c>
      <c r="F8" s="81">
        <v>25.973684210526319</v>
      </c>
      <c r="G8" s="81">
        <f t="shared" si="0"/>
        <v>3</v>
      </c>
      <c r="H8" s="81">
        <f t="shared" si="1"/>
        <v>1.0049778357411612</v>
      </c>
      <c r="I8" s="81">
        <f>D8*G8*H8*SUPUESTOS_PARAMETROS!$B$14</f>
        <v>2292.0730495315811</v>
      </c>
      <c r="J8" s="81">
        <f>I8*SUPUESTOS_PARAMETROS!$B$20</f>
        <v>7380.4613239290993</v>
      </c>
      <c r="K8" s="81">
        <f>J8*TARIFAS_CATEGORIA!$D$11</f>
        <v>25868.51694037149</v>
      </c>
      <c r="L8" s="81">
        <f>J8*TARIFAS_CATEGORIA!$F$11</f>
        <v>20665.291707001474</v>
      </c>
      <c r="M8" s="81">
        <f>(I8/SUPUESTOS_PARAMETROS!$B$27)*SUPUESTOS_PARAMETROS!$B$29*(1+SUPUESTOS_PARAMETROS!$B$28)+COSTOS_OPERACION_COV!$E$7*(I8/SUPUESTOS_PARAMETROS!$B$17)+COSTOS_OPERACION_COV!$E$11+COSTOS_OPERACION_COV!$E$12+COSTOS_OPERACION_COV!$E$13+SUM(COSTOS_OPERACION_COV!$E$14:$E$20)</f>
        <v>15777.412722151683</v>
      </c>
      <c r="N8" s="81">
        <f>COSTOS_OPERACION_COV!$E$26</f>
        <v>1653</v>
      </c>
      <c r="O8" s="81">
        <f>K8-M8-N8-COSTOS_OPERACION_COV!$E$27</f>
        <v>6619.8042182198069</v>
      </c>
      <c r="P8" s="81">
        <f>L8-M8-N8-COSTOS_OPERACION_COV!$E$27</f>
        <v>1416.5789848497909</v>
      </c>
      <c r="Q8" s="19" t="str">
        <f t="shared" si="2"/>
        <v>CUBRE COSTO</v>
      </c>
    </row>
    <row r="9" spans="1:17" x14ac:dyDescent="0.25">
      <c r="A9" s="19">
        <v>3</v>
      </c>
      <c r="B9" s="6" t="s">
        <v>393</v>
      </c>
      <c r="C9" s="6" t="s">
        <v>396</v>
      </c>
      <c r="D9" s="81">
        <v>30.62</v>
      </c>
      <c r="E9" s="81">
        <v>28</v>
      </c>
      <c r="F9" s="81">
        <v>31.620137299771169</v>
      </c>
      <c r="G9" s="81">
        <f t="shared" si="0"/>
        <v>3</v>
      </c>
      <c r="H9" s="81">
        <f t="shared" si="1"/>
        <v>1.0049778357411612</v>
      </c>
      <c r="I9" s="81">
        <f>D9*G9*H9*SUPUESTOS_PARAMETROS!$B$14</f>
        <v>2400.2488637707597</v>
      </c>
      <c r="J9" s="81">
        <f>I9*SUPUESTOS_PARAMETROS!$B$20</f>
        <v>7728.7867899695284</v>
      </c>
      <c r="K9" s="81">
        <f>J9*TARIFAS_CATEGORIA!$D$11</f>
        <v>27089.397698843193</v>
      </c>
      <c r="L9" s="81">
        <f>J9*TARIFAS_CATEGORIA!$F$11</f>
        <v>21640.603011914674</v>
      </c>
      <c r="M9" s="81">
        <f>(I9/SUPUESTOS_PARAMETROS!$B$27)*SUPUESTOS_PARAMETROS!$B$29*(1+SUPUESTOS_PARAMETROS!$B$28)+COSTOS_OPERACION_COV!$E$7*(I9/SUPUESTOS_PARAMETROS!$B$17)+COSTOS_OPERACION_COV!$E$11+COSTOS_OPERACION_COV!$E$12+COSTOS_OPERACION_COV!$E$13+SUM(COSTOS_OPERACION_COV!$E$14:$E$20)</f>
        <v>16218.9642291569</v>
      </c>
      <c r="N9" s="81">
        <f>COSTOS_OPERACION_COV!$E$26</f>
        <v>1653</v>
      </c>
      <c r="O9" s="81">
        <f>K9-M9-N9-COSTOS_OPERACION_COV!$E$27</f>
        <v>7399.1334696862932</v>
      </c>
      <c r="P9" s="81">
        <f>L9-M9-N9-COSTOS_OPERACION_COV!$E$27</f>
        <v>1950.3387827577747</v>
      </c>
      <c r="Q9" s="19" t="str">
        <f t="shared" si="2"/>
        <v>CUBRE COSTO</v>
      </c>
    </row>
    <row r="10" spans="1:17" x14ac:dyDescent="0.25">
      <c r="A10" s="19">
        <v>4</v>
      </c>
      <c r="B10" s="6" t="s">
        <v>393</v>
      </c>
      <c r="C10" s="6" t="s">
        <v>397</v>
      </c>
      <c r="D10" s="81">
        <v>32.9</v>
      </c>
      <c r="E10" s="81">
        <v>28</v>
      </c>
      <c r="F10" s="81">
        <v>31.620137299771169</v>
      </c>
      <c r="G10" s="81">
        <f t="shared" si="0"/>
        <v>3</v>
      </c>
      <c r="H10" s="81">
        <f t="shared" si="1"/>
        <v>1.0049778357411612</v>
      </c>
      <c r="I10" s="81">
        <f>D10*G10*H10*SUPUESTOS_PARAMETROS!$B$14</f>
        <v>2578.9741220789674</v>
      </c>
      <c r="J10" s="81">
        <f>I10*SUPUESTOS_PARAMETROS!$B$20</f>
        <v>8304.2810382102361</v>
      </c>
      <c r="K10" s="81">
        <f>J10*TARIFAS_CATEGORIA!$D$11</f>
        <v>29106.505038926873</v>
      </c>
      <c r="L10" s="81">
        <f>J10*TARIFAS_CATEGORIA!$F$11</f>
        <v>23251.986906988655</v>
      </c>
      <c r="M10" s="81">
        <f>(I10/SUPUESTOS_PARAMETROS!$B$27)*SUPUESTOS_PARAMETROS!$B$29*(1+SUPUESTOS_PARAMETROS!$B$28)+COSTOS_OPERACION_COV!$E$7*(I10/SUPUESTOS_PARAMETROS!$B$17)+COSTOS_OPERACION_COV!$E$11+COSTOS_OPERACION_COV!$E$12+COSTOS_OPERACION_COV!$E$13+SUM(COSTOS_OPERACION_COV!$E$14:$E$20)</f>
        <v>16948.484110295954</v>
      </c>
      <c r="N10" s="81">
        <f>COSTOS_OPERACION_COV!$E$26</f>
        <v>1653</v>
      </c>
      <c r="O10" s="81">
        <f>K10-M10-N10-COSTOS_OPERACION_COV!$E$27</f>
        <v>8686.7209286309189</v>
      </c>
      <c r="P10" s="81">
        <f>L10-M10-N10-COSTOS_OPERACION_COV!$E$27</f>
        <v>2832.2027966927008</v>
      </c>
      <c r="Q10" s="19" t="str">
        <f t="shared" si="2"/>
        <v>CUBRE COSTO</v>
      </c>
    </row>
    <row r="11" spans="1:17" x14ac:dyDescent="0.25">
      <c r="A11" s="19">
        <v>5</v>
      </c>
      <c r="B11" s="6" t="s">
        <v>393</v>
      </c>
      <c r="C11" s="6" t="s">
        <v>398</v>
      </c>
      <c r="D11" s="81">
        <v>28.3</v>
      </c>
      <c r="E11" s="81">
        <v>29</v>
      </c>
      <c r="F11" s="81">
        <v>32.749427917620132</v>
      </c>
      <c r="G11" s="81">
        <f t="shared" si="0"/>
        <v>3</v>
      </c>
      <c r="H11" s="81">
        <f t="shared" si="1"/>
        <v>1.0049778357411612</v>
      </c>
      <c r="I11" s="81">
        <f>D11*G11*H11*SUPUESTOS_PARAMETROS!$B$14</f>
        <v>2218.3880746150389</v>
      </c>
      <c r="J11" s="81">
        <f>I11*SUPUESTOS_PARAMETROS!$B$20</f>
        <v>7143.1961514088061</v>
      </c>
      <c r="K11" s="81">
        <f>J11*TARIFAS_CATEGORIA!$D$11</f>
        <v>25036.902510687862</v>
      </c>
      <c r="L11" s="81">
        <f>J11*TARIFAS_CATEGORIA!$F$11</f>
        <v>20000.949223944652</v>
      </c>
      <c r="M11" s="81">
        <f>(I11/SUPUESTOS_PARAMETROS!$B$27)*SUPUESTOS_PARAMETROS!$B$29*(1+SUPUESTOS_PARAMETROS!$B$28)+COSTOS_OPERACION_COV!$E$7*(I11/SUPUESTOS_PARAMETROS!$B$17)+COSTOS_OPERACION_COV!$E$11+COSTOS_OPERACION_COV!$E$12+COSTOS_OPERACION_COV!$E$13+SUM(COSTOS_OPERACION_COV!$E$14:$E$20)</f>
        <v>15476.645753611898</v>
      </c>
      <c r="N11" s="81">
        <f>COSTOS_OPERACION_COV!$E$26</f>
        <v>1653</v>
      </c>
      <c r="O11" s="81">
        <f>K11-M11-N11-COSTOS_OPERACION_COV!$E$27</f>
        <v>6088.9567570759637</v>
      </c>
      <c r="P11" s="81">
        <f>L11-M11-N11-COSTOS_OPERACION_COV!$E$27</f>
        <v>1053.003470332754</v>
      </c>
      <c r="Q11" s="19" t="str">
        <f t="shared" si="2"/>
        <v>CUBRE COSTO</v>
      </c>
    </row>
    <row r="12" spans="1:17" x14ac:dyDescent="0.25">
      <c r="A12" s="19">
        <v>6</v>
      </c>
      <c r="B12" s="6" t="s">
        <v>393</v>
      </c>
      <c r="C12" s="6" t="s">
        <v>399</v>
      </c>
      <c r="D12" s="81">
        <v>29.76</v>
      </c>
      <c r="E12" s="81">
        <v>28</v>
      </c>
      <c r="F12" s="81">
        <v>31.620137299771169</v>
      </c>
      <c r="G12" s="81">
        <f t="shared" si="0"/>
        <v>3</v>
      </c>
      <c r="H12" s="81">
        <f t="shared" si="1"/>
        <v>1.0049778357411612</v>
      </c>
      <c r="I12" s="81">
        <f>D12*G12*H12*SUPUESTOS_PARAMETROS!$B$14</f>
        <v>2332.8349505492424</v>
      </c>
      <c r="J12" s="81">
        <f>I12*SUPUESTOS_PARAMETROS!$B$20</f>
        <v>7511.7143980892606</v>
      </c>
      <c r="K12" s="81">
        <f>J12*TARIFAS_CATEGORIA!$D$11</f>
        <v>26328.558965302855</v>
      </c>
      <c r="L12" s="81">
        <f>J12*TARIFAS_CATEGORIA!$F$11</f>
        <v>21032.800314649925</v>
      </c>
      <c r="M12" s="81">
        <f>(I12/SUPUESTOS_PARAMETROS!$B$27)*SUPUESTOS_PARAMETROS!$B$29*(1+SUPUESTOS_PARAMETROS!$B$28)+COSTOS_OPERACION_COV!$E$7*(I12/SUPUESTOS_PARAMETROS!$B$17)+COSTOS_OPERACION_COV!$E$11+COSTOS_OPERACION_COV!$E$12+COSTOS_OPERACION_COV!$E$13+SUM(COSTOS_OPERACION_COV!$E$14:$E$20)</f>
        <v>15943.794449429011</v>
      </c>
      <c r="N12" s="81">
        <f>COSTOS_OPERACION_COV!$E$26</f>
        <v>1653</v>
      </c>
      <c r="O12" s="81">
        <f>K12-M12-N12-COSTOS_OPERACION_COV!$E$27</f>
        <v>6913.4645158738431</v>
      </c>
      <c r="P12" s="81">
        <f>L12-M12-N12-COSTOS_OPERACION_COV!$E$27</f>
        <v>1617.7058652209137</v>
      </c>
      <c r="Q12" s="19" t="str">
        <f t="shared" si="2"/>
        <v>CUBRE COSTO</v>
      </c>
    </row>
    <row r="13" spans="1:17" x14ac:dyDescent="0.25">
      <c r="A13" s="19">
        <v>7</v>
      </c>
      <c r="B13" s="6" t="s">
        <v>393</v>
      </c>
      <c r="C13" s="6" t="s">
        <v>400</v>
      </c>
      <c r="D13" s="81">
        <v>25.92</v>
      </c>
      <c r="E13" s="81">
        <v>29</v>
      </c>
      <c r="F13" s="81">
        <v>32.749427917620132</v>
      </c>
      <c r="G13" s="81">
        <f t="shared" si="0"/>
        <v>3</v>
      </c>
      <c r="H13" s="81">
        <f t="shared" si="1"/>
        <v>1.0049778357411612</v>
      </c>
      <c r="I13" s="81">
        <f>D13*G13*H13*SUPUESTOS_PARAMETROS!$B$14</f>
        <v>2031.8239891880501</v>
      </c>
      <c r="J13" s="81">
        <f>I13*SUPUESTOS_PARAMETROS!$B$20</f>
        <v>6542.4609273680662</v>
      </c>
      <c r="K13" s="81">
        <f>J13*TARIFAS_CATEGORIA!$D$11</f>
        <v>22931.32555042507</v>
      </c>
      <c r="L13" s="81">
        <f>J13*TARIFAS_CATEGORIA!$F$11</f>
        <v>18318.890596630583</v>
      </c>
      <c r="M13" s="81">
        <f>(I13/SUPUESTOS_PARAMETROS!$B$27)*SUPUESTOS_PARAMETROS!$B$29*(1+SUPUESTOS_PARAMETROS!$B$28)+COSTOS_OPERACION_COV!$E$7*(I13/SUPUESTOS_PARAMETROS!$B$17)+COSTOS_OPERACION_COV!$E$11+COSTOS_OPERACION_COV!$E$12+COSTOS_OPERACION_COV!$E$13+SUM(COSTOS_OPERACION_COV!$E$14:$E$20)</f>
        <v>14715.129386457975</v>
      </c>
      <c r="N13" s="81">
        <f>COSTOS_OPERACION_COV!$E$26</f>
        <v>1653</v>
      </c>
      <c r="O13" s="81">
        <f>K13-M13-N13-COSTOS_OPERACION_COV!$E$27</f>
        <v>4744.8961639670952</v>
      </c>
      <c r="P13" s="81">
        <f>L13-M13-N13-COSTOS_OPERACION_COV!$E$27</f>
        <v>132.46121017260816</v>
      </c>
      <c r="Q13" s="19" t="str">
        <f t="shared" si="2"/>
        <v>CUBRE COSTO</v>
      </c>
    </row>
    <row r="14" spans="1:17" x14ac:dyDescent="0.25">
      <c r="A14" s="19">
        <v>8</v>
      </c>
      <c r="B14" s="6" t="s">
        <v>393</v>
      </c>
      <c r="C14" s="6" t="s">
        <v>401</v>
      </c>
      <c r="D14" s="81">
        <v>26.38</v>
      </c>
      <c r="E14" s="81">
        <v>28</v>
      </c>
      <c r="F14" s="81">
        <v>31.620137299771169</v>
      </c>
      <c r="G14" s="81">
        <f t="shared" si="0"/>
        <v>3</v>
      </c>
      <c r="H14" s="81">
        <f t="shared" si="1"/>
        <v>1.0049778357411612</v>
      </c>
      <c r="I14" s="81">
        <f>D14*G14*H14*SUPUESTOS_PARAMETROS!$B$14</f>
        <v>2067.8825939344429</v>
      </c>
      <c r="J14" s="81">
        <f>I14*SUPUESTOS_PARAMETROS!$B$20</f>
        <v>6658.569416048209</v>
      </c>
      <c r="K14" s="81">
        <f>J14*TARIFAS_CATEGORIA!$D$11</f>
        <v>23338.285803248968</v>
      </c>
      <c r="L14" s="81">
        <f>J14*TARIFAS_CATEGORIA!$F$11</f>
        <v>18643.994364934981</v>
      </c>
      <c r="M14" s="81">
        <f>(I14/SUPUESTOS_PARAMETROS!$B$27)*SUPUESTOS_PARAMETROS!$B$29*(1+SUPUESTOS_PARAMETROS!$B$28)+COSTOS_OPERACION_COV!$E$7*(I14/SUPUESTOS_PARAMETROS!$B$17)+COSTOS_OPERACION_COV!$E$11+COSTOS_OPERACION_COV!$E$12+COSTOS_OPERACION_COV!$E$13+SUM(COSTOS_OPERACION_COV!$E$14:$E$20)</f>
        <v>14862.31322212638</v>
      </c>
      <c r="N14" s="81">
        <f>COSTOS_OPERACION_COV!$E$26</f>
        <v>1653</v>
      </c>
      <c r="O14" s="81">
        <f>K14-M14-N14-COSTOS_OPERACION_COV!$E$27</f>
        <v>5004.672581122587</v>
      </c>
      <c r="P14" s="81">
        <f>L14-M14-N14-COSTOS_OPERACION_COV!$E$27</f>
        <v>310.38114280860032</v>
      </c>
      <c r="Q14" s="19" t="str">
        <f t="shared" si="2"/>
        <v>CUBRE COSTO</v>
      </c>
    </row>
    <row r="15" spans="1:17" x14ac:dyDescent="0.25">
      <c r="A15" s="19">
        <v>9</v>
      </c>
      <c r="B15" s="6" t="s">
        <v>393</v>
      </c>
      <c r="C15" s="6" t="s">
        <v>402</v>
      </c>
      <c r="D15" s="81">
        <v>24.5</v>
      </c>
      <c r="E15" s="81">
        <v>28</v>
      </c>
      <c r="F15" s="81">
        <v>31.620137299771169</v>
      </c>
      <c r="G15" s="81">
        <f t="shared" si="0"/>
        <v>3</v>
      </c>
      <c r="H15" s="81">
        <f t="shared" si="1"/>
        <v>1.0049778357411612</v>
      </c>
      <c r="I15" s="81">
        <f>D15*G15*H15*SUPUESTOS_PARAMETROS!$B$14</f>
        <v>1920.512644101359</v>
      </c>
      <c r="J15" s="81">
        <f>I15*SUPUESTOS_PARAMETROS!$B$20</f>
        <v>6184.0390710076244</v>
      </c>
      <c r="K15" s="81">
        <f>J15*TARIFAS_CATEGORIA!$D$11</f>
        <v>21675.056943881722</v>
      </c>
      <c r="L15" s="81">
        <f>J15*TARIFAS_CATEGORIA!$F$11</f>
        <v>17315.309398821344</v>
      </c>
      <c r="M15" s="81">
        <f>(I15/SUPUESTOS_PARAMETROS!$B$27)*SUPUESTOS_PARAMETROS!$B$29*(1+SUPUESTOS_PARAMETROS!$B$28)+COSTOS_OPERACION_COV!$E$7*(I15/SUPUESTOS_PARAMETROS!$B$17)+COSTOS_OPERACION_COV!$E$11+COSTOS_OPERACION_COV!$E$12+COSTOS_OPERACION_COV!$E$13+SUM(COSTOS_OPERACION_COV!$E$14:$E$20)</f>
        <v>14260.779285046809</v>
      </c>
      <c r="N15" s="81">
        <f>COSTOS_OPERACION_COV!$E$26</f>
        <v>1653</v>
      </c>
      <c r="O15" s="81">
        <f>K15-M15-N15-COSTOS_OPERACION_COV!$E$27</f>
        <v>3942.9776588349132</v>
      </c>
      <c r="P15" s="81">
        <f>L15-M15-N15-COSTOS_OPERACION_COV!$E$27</f>
        <v>-416.76988622546446</v>
      </c>
      <c r="Q15" s="19" t="str">
        <f t="shared" si="2"/>
        <v>CUBRE COSTO</v>
      </c>
    </row>
    <row r="16" spans="1:17" x14ac:dyDescent="0.25">
      <c r="A16" s="19">
        <v>10</v>
      </c>
      <c r="B16" s="6" t="s">
        <v>393</v>
      </c>
      <c r="C16" s="6" t="s">
        <v>403</v>
      </c>
      <c r="D16" s="81">
        <v>25.83</v>
      </c>
      <c r="E16" s="81">
        <v>29</v>
      </c>
      <c r="F16" s="81">
        <v>32.749427917620132</v>
      </c>
      <c r="G16" s="81">
        <f t="shared" si="0"/>
        <v>3</v>
      </c>
      <c r="H16" s="81">
        <f t="shared" si="1"/>
        <v>1.0049778357411612</v>
      </c>
      <c r="I16" s="81">
        <f>D16*G16*H16*SUPUESTOS_PARAMETROS!$B$14</f>
        <v>2024.7690447811467</v>
      </c>
      <c r="J16" s="81">
        <f>I16*SUPUESTOS_PARAMETROS!$B$20</f>
        <v>6519.7440491480365</v>
      </c>
      <c r="K16" s="81">
        <f>J16*TARIFAS_CATEGORIA!$D$11</f>
        <v>22851.702892263864</v>
      </c>
      <c r="L16" s="81">
        <f>J16*TARIFAS_CATEGORIA!$F$11</f>
        <v>18255.283337614499</v>
      </c>
      <c r="M16" s="81">
        <f>(I16/SUPUESTOS_PARAMETROS!$B$27)*SUPUESTOS_PARAMETROS!$B$29*(1+SUPUESTOS_PARAMETROS!$B$28)+COSTOS_OPERACION_COV!$E$7*(I16/SUPUESTOS_PARAMETROS!$B$17)+COSTOS_OPERACION_COV!$E$11+COSTOS_OPERACION_COV!$E$12+COSTOS_OPERACION_COV!$E$13+SUM(COSTOS_OPERACION_COV!$E$14:$E$20)</f>
        <v>14686.33254904459</v>
      </c>
      <c r="N16" s="81">
        <f>COSTOS_OPERACION_COV!$E$26</f>
        <v>1653</v>
      </c>
      <c r="O16" s="81">
        <f>K16-M16-N16-COSTOS_OPERACION_COV!$E$27</f>
        <v>4694.070343219274</v>
      </c>
      <c r="P16" s="81">
        <f>L16-M16-N16-COSTOS_OPERACION_COV!$E$27</f>
        <v>97.650788569909537</v>
      </c>
      <c r="Q16" s="19" t="str">
        <f t="shared" si="2"/>
        <v>CUBRE COSTO</v>
      </c>
    </row>
    <row r="17" spans="1:17" x14ac:dyDescent="0.25">
      <c r="A17" s="19">
        <v>11</v>
      </c>
      <c r="B17" s="6" t="s">
        <v>393</v>
      </c>
      <c r="C17" s="6" t="s">
        <v>404</v>
      </c>
      <c r="D17" s="81">
        <v>35.53</v>
      </c>
      <c r="E17" s="81">
        <v>27</v>
      </c>
      <c r="F17" s="81">
        <v>30.4908466819222</v>
      </c>
      <c r="G17" s="81">
        <f t="shared" si="0"/>
        <v>3</v>
      </c>
      <c r="H17" s="81">
        <f t="shared" si="1"/>
        <v>1.0049778357411612</v>
      </c>
      <c r="I17" s="81">
        <f>D17*G17*H17*SUPUESTOS_PARAMETROS!$B$14</f>
        <v>2785.1352753029096</v>
      </c>
      <c r="J17" s="81">
        <f>I17*SUPUESTOS_PARAMETROS!$B$20</f>
        <v>8968.1187017510565</v>
      </c>
      <c r="K17" s="81">
        <f>J17*TARIFAS_CATEGORIA!$D$11</f>
        <v>31433.25604963745</v>
      </c>
      <c r="L17" s="81">
        <f>J17*TARIFAS_CATEGORIA!$F$11</f>
        <v>25110.732364902953</v>
      </c>
      <c r="M17" s="81">
        <f>(I17/SUPUESTOS_PARAMETROS!$B$27)*SUPUESTOS_PARAMETROS!$B$29*(1+SUPUESTOS_PARAMETROS!$B$28)+COSTOS_OPERACION_COV!$E$7*(I17/SUPUESTOS_PARAMETROS!$B$17)+COSTOS_OPERACION_COV!$E$11+COSTOS_OPERACION_COV!$E$12+COSTOS_OPERACION_COV!$E$13+SUM(COSTOS_OPERACION_COV!$E$14:$E$20)</f>
        <v>17789.991692487056</v>
      </c>
      <c r="N17" s="81">
        <f>COSTOS_OPERACION_COV!$E$26</f>
        <v>1653</v>
      </c>
      <c r="O17" s="81">
        <f>K17-M17-N17-COSTOS_OPERACION_COV!$E$27</f>
        <v>10171.964357150395</v>
      </c>
      <c r="P17" s="81">
        <f>L17-M17-N17-COSTOS_OPERACION_COV!$E$27</f>
        <v>3849.4406724158971</v>
      </c>
      <c r="Q17" s="19" t="str">
        <f t="shared" si="2"/>
        <v>CUBRE COSTO</v>
      </c>
    </row>
    <row r="18" spans="1:17" x14ac:dyDescent="0.25">
      <c r="A18" s="19">
        <v>12</v>
      </c>
      <c r="B18" s="6" t="s">
        <v>393</v>
      </c>
      <c r="C18" s="6" t="s">
        <v>405</v>
      </c>
      <c r="D18" s="81">
        <v>22.96</v>
      </c>
      <c r="E18" s="81">
        <v>26</v>
      </c>
      <c r="F18" s="81">
        <v>29.36155606407323</v>
      </c>
      <c r="G18" s="81">
        <f t="shared" si="0"/>
        <v>3</v>
      </c>
      <c r="H18" s="81">
        <f t="shared" si="1"/>
        <v>1.0049778357411612</v>
      </c>
      <c r="I18" s="81">
        <f>D18*G18*H18*SUPUESTOS_PARAMETROS!$B$14</f>
        <v>1799.7947064721307</v>
      </c>
      <c r="J18" s="81">
        <f>I18*SUPUESTOS_PARAMETROS!$B$20</f>
        <v>5795.3280436871446</v>
      </c>
      <c r="K18" s="81">
        <f>J18*TARIFAS_CATEGORIA!$D$11</f>
        <v>20312.624793123439</v>
      </c>
      <c r="L18" s="81">
        <f>J18*TARIFAS_CATEGORIA!$F$11</f>
        <v>16226.918522324002</v>
      </c>
      <c r="M18" s="81">
        <f>(I18/SUPUESTOS_PARAMETROS!$B$27)*SUPUESTOS_PARAMETROS!$B$29*(1+SUPUESTOS_PARAMETROS!$B$28)+COSTOS_OPERACION_COV!$E$7*(I18/SUPUESTOS_PARAMETROS!$B$17)+COSTOS_OPERACION_COV!$E$11+COSTOS_OPERACION_COV!$E$12+COSTOS_OPERACION_COV!$E$13+SUM(COSTOS_OPERACION_COV!$E$14:$E$20)</f>
        <v>13768.0334004178</v>
      </c>
      <c r="N18" s="81">
        <f>COSTOS_OPERACION_COV!$E$26</f>
        <v>1653</v>
      </c>
      <c r="O18" s="81">
        <f>K18-M18-N18-COSTOS_OPERACION_COV!$E$27</f>
        <v>3073.2913927056388</v>
      </c>
      <c r="P18" s="81">
        <f>L18-M18-N18-COSTOS_OPERACION_COV!$E$27</f>
        <v>-1012.4148780937983</v>
      </c>
      <c r="Q18" s="19" t="str">
        <f t="shared" si="2"/>
        <v>CUBRE COSTO</v>
      </c>
    </row>
    <row r="19" spans="1:17" x14ac:dyDescent="0.25">
      <c r="A19" s="19">
        <v>13</v>
      </c>
      <c r="B19" s="6" t="s">
        <v>393</v>
      </c>
      <c r="C19" s="6" t="s">
        <v>406</v>
      </c>
      <c r="D19" s="81">
        <v>24.21</v>
      </c>
      <c r="E19" s="81">
        <v>27</v>
      </c>
      <c r="F19" s="81">
        <v>30.4908466819222</v>
      </c>
      <c r="G19" s="81">
        <f t="shared" si="0"/>
        <v>3</v>
      </c>
      <c r="H19" s="81">
        <f t="shared" si="1"/>
        <v>1.0049778357411612</v>
      </c>
      <c r="I19" s="81">
        <f>D19*G19*H19*SUPUESTOS_PARAMETROS!$B$14</f>
        <v>1897.7800454568937</v>
      </c>
      <c r="J19" s="81">
        <f>I19*SUPUESTOS_PARAMETROS!$B$20</f>
        <v>6110.8402411875331</v>
      </c>
      <c r="K19" s="81">
        <f>J19*TARIFAS_CATEGORIA!$D$11</f>
        <v>21418.495045362299</v>
      </c>
      <c r="L19" s="81">
        <f>J19*TARIFAS_CATEGORIA!$F$11</f>
        <v>17110.352675325088</v>
      </c>
      <c r="M19" s="81">
        <f>(I19/SUPUESTOS_PARAMETROS!$B$27)*SUPUESTOS_PARAMETROS!$B$29*(1+SUPUESTOS_PARAMETROS!$B$28)+COSTOS_OPERACION_COV!$E$7*(I19/SUPUESTOS_PARAMETROS!$B$17)+COSTOS_OPERACION_COV!$E$11+COSTOS_OPERACION_COV!$E$12+COSTOS_OPERACION_COV!$E$13+SUM(COSTOS_OPERACION_COV!$E$14:$E$20)</f>
        <v>14167.989475603685</v>
      </c>
      <c r="N19" s="81">
        <f>COSTOS_OPERACION_COV!$E$26</f>
        <v>1653</v>
      </c>
      <c r="O19" s="81">
        <f>K19-M19-N19-COSTOS_OPERACION_COV!$E$27</f>
        <v>3779.2055697586138</v>
      </c>
      <c r="P19" s="81">
        <f>L19-M19-N19-COSTOS_OPERACION_COV!$E$27</f>
        <v>-528.93680027859659</v>
      </c>
      <c r="Q19" s="19" t="str">
        <f t="shared" si="2"/>
        <v>CUBRE COSTO</v>
      </c>
    </row>
    <row r="20" spans="1:17" x14ac:dyDescent="0.25">
      <c r="A20" s="19">
        <v>14</v>
      </c>
      <c r="B20" s="6" t="s">
        <v>393</v>
      </c>
      <c r="C20" s="6" t="s">
        <v>407</v>
      </c>
      <c r="D20" s="81">
        <v>34.57</v>
      </c>
      <c r="E20" s="81">
        <v>27</v>
      </c>
      <c r="F20" s="81">
        <v>30.4908466819222</v>
      </c>
      <c r="G20" s="81">
        <f t="shared" si="0"/>
        <v>3</v>
      </c>
      <c r="H20" s="81">
        <f t="shared" si="1"/>
        <v>1.0049778357411612</v>
      </c>
      <c r="I20" s="81">
        <f>D20*G20*H20*SUPUESTOS_PARAMETROS!$B$14</f>
        <v>2709.8825349626118</v>
      </c>
      <c r="J20" s="81">
        <f>I20*SUPUESTOS_PARAMETROS!$B$20</f>
        <v>8725.8053340707593</v>
      </c>
      <c r="K20" s="81">
        <f>J20*TARIFAS_CATEGORIA!$D$11</f>
        <v>30583.947695918007</v>
      </c>
      <c r="L20" s="81">
        <f>J20*TARIFAS_CATEGORIA!$F$11</f>
        <v>24432.254935398119</v>
      </c>
      <c r="M20" s="81">
        <f>(I20/SUPUESTOS_PARAMETROS!$B$27)*SUPUESTOS_PARAMETROS!$B$29*(1+SUPUESTOS_PARAMETROS!$B$28)+COSTOS_OPERACION_COV!$E$7*(I20/SUPUESTOS_PARAMETROS!$B$17)+COSTOS_OPERACION_COV!$E$11+COSTOS_OPERACION_COV!$E$12+COSTOS_OPERACION_COV!$E$13+SUM(COSTOS_OPERACION_COV!$E$14:$E$20)</f>
        <v>17482.825426744297</v>
      </c>
      <c r="N20" s="81">
        <f>COSTOS_OPERACION_COV!$E$26</f>
        <v>1653</v>
      </c>
      <c r="O20" s="81">
        <f>K20-M20-N20-COSTOS_OPERACION_COV!$E$27</f>
        <v>9629.8222691737101</v>
      </c>
      <c r="P20" s="81">
        <f>L20-M20-N20-COSTOS_OPERACION_COV!$E$27</f>
        <v>3478.1295086538221</v>
      </c>
      <c r="Q20" s="19" t="str">
        <f t="shared" si="2"/>
        <v>CUBRE COSTO</v>
      </c>
    </row>
    <row r="21" spans="1:17" x14ac:dyDescent="0.25">
      <c r="A21" s="19">
        <v>15</v>
      </c>
      <c r="B21" s="6" t="s">
        <v>393</v>
      </c>
      <c r="C21" s="6" t="s">
        <v>408</v>
      </c>
      <c r="D21" s="81">
        <v>30.1</v>
      </c>
      <c r="E21" s="81">
        <v>27</v>
      </c>
      <c r="F21" s="81">
        <v>30.4908466819222</v>
      </c>
      <c r="G21" s="81">
        <f t="shared" si="0"/>
        <v>3</v>
      </c>
      <c r="H21" s="81">
        <f t="shared" si="1"/>
        <v>1.0049778357411612</v>
      </c>
      <c r="I21" s="81">
        <f>D21*G21*H21*SUPUESTOS_PARAMETROS!$B$14</f>
        <v>2359.4869627530984</v>
      </c>
      <c r="J21" s="81">
        <f>I21*SUPUESTOS_PARAMETROS!$B$20</f>
        <v>7597.5337158093671</v>
      </c>
      <c r="K21" s="81">
        <f>J21*TARIFAS_CATEGORIA!$D$11</f>
        <v>26629.355673911828</v>
      </c>
      <c r="L21" s="81">
        <f>J21*TARIFAS_CATEGORIA!$F$11</f>
        <v>21273.094404266223</v>
      </c>
      <c r="M21" s="81">
        <f>(I21/SUPUESTOS_PARAMETROS!$B$27)*SUPUESTOS_PARAMETROS!$B$29*(1+SUPUESTOS_PARAMETROS!$B$28)+COSTOS_OPERACION_COV!$E$7*(I21/SUPUESTOS_PARAMETROS!$B$17)+COSTOS_OPERACION_COV!$E$11+COSTOS_OPERACION_COV!$E$12+COSTOS_OPERACION_COV!$E$13+SUM(COSTOS_OPERACION_COV!$E$14:$E$20)</f>
        <v>16052.582501879573</v>
      </c>
      <c r="N21" s="81">
        <f>COSTOS_OPERACION_COV!$E$26</f>
        <v>1653</v>
      </c>
      <c r="O21" s="81">
        <f>K21-M21-N21-COSTOS_OPERACION_COV!$E$27</f>
        <v>7105.4731720322552</v>
      </c>
      <c r="P21" s="81">
        <f>L21-M21-N21-COSTOS_OPERACION_COV!$E$27</f>
        <v>1749.2119023866501</v>
      </c>
      <c r="Q21" s="19" t="str">
        <f t="shared" si="2"/>
        <v>CUBRE COSTO</v>
      </c>
    </row>
    <row r="22" spans="1:17" x14ac:dyDescent="0.25">
      <c r="A22" s="19">
        <v>16</v>
      </c>
      <c r="B22" s="6" t="s">
        <v>393</v>
      </c>
      <c r="C22" s="6" t="s">
        <v>409</v>
      </c>
      <c r="D22" s="81">
        <v>21.02</v>
      </c>
      <c r="E22" s="81">
        <v>27</v>
      </c>
      <c r="F22" s="81">
        <v>30.4908466819222</v>
      </c>
      <c r="G22" s="81">
        <f t="shared" si="0"/>
        <v>3</v>
      </c>
      <c r="H22" s="81">
        <f t="shared" si="1"/>
        <v>1.0049778357411612</v>
      </c>
      <c r="I22" s="81">
        <f>D22*G22*H22*SUPUESTOS_PARAMETROS!$B$14</f>
        <v>1647.7214603677783</v>
      </c>
      <c r="J22" s="81">
        <f>I22*SUPUESTOS_PARAMETROS!$B$20</f>
        <v>5305.6531131665415</v>
      </c>
      <c r="K22" s="81">
        <f>J22*TARIFAS_CATEGORIA!$D$11</f>
        <v>18596.314161648726</v>
      </c>
      <c r="L22" s="81">
        <f>J22*TARIFAS_CATEGORIA!$F$11</f>
        <v>14855.828716866314</v>
      </c>
      <c r="M22" s="81">
        <f>(I22/SUPUESTOS_PARAMETROS!$B$27)*SUPUESTOS_PARAMETROS!$B$29*(1+SUPUESTOS_PARAMETROS!$B$28)+COSTOS_OPERACION_COV!$E$7*(I22/SUPUESTOS_PARAMETROS!$B$17)+COSTOS_OPERACION_COV!$E$11+COSTOS_OPERACION_COV!$E$12+COSTOS_OPERACION_COV!$E$13+SUM(COSTOS_OPERACION_COV!$E$14:$E$20)</f>
        <v>13147.301571729306</v>
      </c>
      <c r="N22" s="81">
        <f>COSTOS_OPERACION_COV!$E$26</f>
        <v>1653</v>
      </c>
      <c r="O22" s="81">
        <f>K22-M22-N22-COSTOS_OPERACION_COV!$E$27</f>
        <v>1977.7125899194209</v>
      </c>
      <c r="P22" s="81">
        <f>L22-M22-N22-COSTOS_OPERACION_COV!$E$27</f>
        <v>-1762.7728548629918</v>
      </c>
      <c r="Q22" s="19" t="str">
        <f t="shared" si="2"/>
        <v>CUBRE COSTO</v>
      </c>
    </row>
    <row r="23" spans="1:17" x14ac:dyDescent="0.25">
      <c r="A23" s="19">
        <v>17</v>
      </c>
      <c r="B23" s="6" t="s">
        <v>393</v>
      </c>
      <c r="C23" s="6" t="s">
        <v>410</v>
      </c>
      <c r="D23" s="81">
        <v>34.86</v>
      </c>
      <c r="E23" s="81">
        <v>27</v>
      </c>
      <c r="F23" s="81">
        <v>30.4908466819222</v>
      </c>
      <c r="G23" s="81">
        <f t="shared" si="0"/>
        <v>3</v>
      </c>
      <c r="H23" s="81">
        <f t="shared" si="1"/>
        <v>1.0049778357411612</v>
      </c>
      <c r="I23" s="81">
        <f>D23*G23*H23*SUPUESTOS_PARAMETROS!$B$14</f>
        <v>2732.6151336070761</v>
      </c>
      <c r="J23" s="81">
        <f>I23*SUPUESTOS_PARAMETROS!$B$20</f>
        <v>8799.004163890846</v>
      </c>
      <c r="K23" s="81">
        <f>J23*TARIFAS_CATEGORIA!$D$11</f>
        <v>30840.509594437412</v>
      </c>
      <c r="L23" s="81">
        <f>J23*TARIFAS_CATEGORIA!$F$11</f>
        <v>24637.211658894365</v>
      </c>
      <c r="M23" s="81">
        <f>(I23/SUPUESTOS_PARAMETROS!$B$27)*SUPUESTOS_PARAMETROS!$B$29*(1+SUPUESTOS_PARAMETROS!$B$28)+COSTOS_OPERACION_COV!$E$7*(I23/SUPUESTOS_PARAMETROS!$B$17)+COSTOS_OPERACION_COV!$E$11+COSTOS_OPERACION_COV!$E$12+COSTOS_OPERACION_COV!$E$13+SUM(COSTOS_OPERACION_COV!$E$14:$E$20)</f>
        <v>17575.615236187419</v>
      </c>
      <c r="N23" s="81">
        <f>COSTOS_OPERACION_COV!$E$26</f>
        <v>1653</v>
      </c>
      <c r="O23" s="81">
        <f>K23-M23-N23-COSTOS_OPERACION_COV!$E$27</f>
        <v>9793.5943582499931</v>
      </c>
      <c r="P23" s="81">
        <f>L23-M23-N23-COSTOS_OPERACION_COV!$E$27</f>
        <v>3590.2964227069451</v>
      </c>
      <c r="Q23" s="19" t="str">
        <f t="shared" si="2"/>
        <v>CUBRE COSTO</v>
      </c>
    </row>
    <row r="24" spans="1:17" x14ac:dyDescent="0.25">
      <c r="A24" s="19">
        <v>18</v>
      </c>
      <c r="B24" s="6" t="s">
        <v>393</v>
      </c>
      <c r="C24" s="6" t="s">
        <v>411</v>
      </c>
      <c r="D24" s="81">
        <v>31.44</v>
      </c>
      <c r="E24" s="81">
        <v>27</v>
      </c>
      <c r="F24" s="81">
        <v>30.4908466819222</v>
      </c>
      <c r="G24" s="81">
        <f t="shared" si="0"/>
        <v>3</v>
      </c>
      <c r="H24" s="81">
        <f t="shared" si="1"/>
        <v>1.0049778357411612</v>
      </c>
      <c r="I24" s="81">
        <f>D24*G24*H24*SUPUESTOS_PARAMETROS!$B$14</f>
        <v>2464.5272461447644</v>
      </c>
      <c r="J24" s="81">
        <f>I24*SUPUESTOS_PARAMETROS!$B$20</f>
        <v>7935.7627915297835</v>
      </c>
      <c r="K24" s="81">
        <f>J24*TARIFAS_CATEGORIA!$D$11</f>
        <v>27814.848584311887</v>
      </c>
      <c r="L24" s="81">
        <f>J24*TARIFAS_CATEGORIA!$F$11</f>
        <v>22220.135816283389</v>
      </c>
      <c r="M24" s="81">
        <f>(I24/SUPUESTOS_PARAMETROS!$B$27)*SUPUESTOS_PARAMETROS!$B$29*(1+SUPUESTOS_PARAMETROS!$B$28)+COSTOS_OPERACION_COV!$E$7*(I24/SUPUESTOS_PARAMETROS!$B$17)+COSTOS_OPERACION_COV!$E$11+COSTOS_OPERACION_COV!$E$12+COSTOS_OPERACION_COV!$E$13+SUM(COSTOS_OPERACION_COV!$E$14:$E$20)</f>
        <v>16481.335414478843</v>
      </c>
      <c r="N24" s="81">
        <f>COSTOS_OPERACION_COV!$E$26</f>
        <v>1653</v>
      </c>
      <c r="O24" s="81">
        <f>K24-M24-N24-COSTOS_OPERACION_COV!$E$27</f>
        <v>7862.213169833044</v>
      </c>
      <c r="P24" s="81">
        <f>L24-M24-N24-COSTOS_OPERACION_COV!$E$27</f>
        <v>2267.5004018045465</v>
      </c>
      <c r="Q24" s="19" t="str">
        <f t="shared" si="2"/>
        <v>CUBRE COSTO</v>
      </c>
    </row>
    <row r="25" spans="1:17" x14ac:dyDescent="0.25">
      <c r="A25" s="19">
        <v>19</v>
      </c>
      <c r="B25" s="6" t="s">
        <v>393</v>
      </c>
      <c r="C25" s="6" t="s">
        <v>412</v>
      </c>
      <c r="D25" s="81">
        <v>24.38</v>
      </c>
      <c r="E25" s="81">
        <v>27</v>
      </c>
      <c r="F25" s="81">
        <v>30.4908466819222</v>
      </c>
      <c r="G25" s="81">
        <f t="shared" si="0"/>
        <v>3</v>
      </c>
      <c r="H25" s="81">
        <f t="shared" si="1"/>
        <v>1.0049778357411612</v>
      </c>
      <c r="I25" s="81">
        <f>D25*G25*H25*SUPUESTOS_PARAMETROS!$B$14</f>
        <v>1911.1060515588219</v>
      </c>
      <c r="J25" s="81">
        <f>I25*SUPUESTOS_PARAMETROS!$B$20</f>
        <v>6153.7499000475873</v>
      </c>
      <c r="K25" s="81">
        <f>J25*TARIFAS_CATEGORIA!$D$11</f>
        <v>21568.893399666791</v>
      </c>
      <c r="L25" s="81">
        <f>J25*TARIFAS_CATEGORIA!$F$11</f>
        <v>17230.499720133241</v>
      </c>
      <c r="M25" s="81">
        <f>(I25/SUPUESTOS_PARAMETROS!$B$27)*SUPUESTOS_PARAMETROS!$B$29*(1+SUPUESTOS_PARAMETROS!$B$28)+COSTOS_OPERACION_COV!$E$7*(I25/SUPUESTOS_PARAMETROS!$B$17)+COSTOS_OPERACION_COV!$E$11+COSTOS_OPERACION_COV!$E$12+COSTOS_OPERACION_COV!$E$13+SUM(COSTOS_OPERACION_COV!$E$14:$E$20)</f>
        <v>14222.383501828965</v>
      </c>
      <c r="N25" s="81">
        <f>COSTOS_OPERACION_COV!$E$26</f>
        <v>1653</v>
      </c>
      <c r="O25" s="81">
        <f>K25-M25-N25-COSTOS_OPERACION_COV!$E$27</f>
        <v>3875.2098978378262</v>
      </c>
      <c r="P25" s="81">
        <f>L25-M25-N25-COSTOS_OPERACION_COV!$E$27</f>
        <v>-463.18378169572384</v>
      </c>
      <c r="Q25" s="19" t="str">
        <f t="shared" si="2"/>
        <v>CUBRE COSTO</v>
      </c>
    </row>
    <row r="26" spans="1:17" x14ac:dyDescent="0.25">
      <c r="A26" s="19">
        <v>20</v>
      </c>
      <c r="B26" s="6" t="s">
        <v>413</v>
      </c>
      <c r="C26" s="6" t="s">
        <v>414</v>
      </c>
      <c r="D26" s="81">
        <v>28</v>
      </c>
      <c r="E26" s="81">
        <v>28</v>
      </c>
      <c r="F26" s="81">
        <v>31.620137299771169</v>
      </c>
      <c r="G26" s="81">
        <f t="shared" si="0"/>
        <v>3</v>
      </c>
      <c r="H26" s="81">
        <f t="shared" si="1"/>
        <v>1.0049778357411612</v>
      </c>
      <c r="I26" s="81">
        <f>D26*G26*H26*SUPUESTOS_PARAMETROS!$B$14</f>
        <v>2194.8715932586961</v>
      </c>
      <c r="J26" s="81">
        <f>I26*SUPUESTOS_PARAMETROS!$B$20</f>
        <v>7067.4732240087133</v>
      </c>
      <c r="K26" s="81">
        <f>J26*TARIFAS_CATEGORIA!$D$11</f>
        <v>24771.493650150536</v>
      </c>
      <c r="L26" s="81">
        <f>J26*TARIFAS_CATEGORIA!$F$11</f>
        <v>19788.925027224392</v>
      </c>
      <c r="M26" s="81">
        <f>(I26/SUPUESTOS_PARAMETROS!$B$27)*SUPUESTOS_PARAMETROS!$B$29*(1+SUPUESTOS_PARAMETROS!$B$28)+COSTOS_OPERACION_COV!$E$7*(I26/SUPUESTOS_PARAMETROS!$B$17)+COSTOS_OPERACION_COV!$E$11+COSTOS_OPERACION_COV!$E$12+COSTOS_OPERACION_COV!$E$13+SUM(COSTOS_OPERACION_COV!$E$14:$E$20)</f>
        <v>15380.656295567287</v>
      </c>
      <c r="N26" s="81">
        <f>COSTOS_OPERACION_COV!$E$26</f>
        <v>1653</v>
      </c>
      <c r="O26" s="81">
        <f>K26-M26-N26-COSTOS_OPERACION_COV!$E$27</f>
        <v>5919.537354583249</v>
      </c>
      <c r="P26" s="81">
        <f>L26-M26-N26-COSTOS_OPERACION_COV!$E$27</f>
        <v>936.96873165710463</v>
      </c>
      <c r="Q26" s="19" t="str">
        <f t="shared" si="2"/>
        <v>CUBRE COSTO</v>
      </c>
    </row>
    <row r="27" spans="1:17" x14ac:dyDescent="0.25">
      <c r="A27" s="19">
        <v>21</v>
      </c>
      <c r="B27" s="6" t="s">
        <v>413</v>
      </c>
      <c r="C27" s="6" t="s">
        <v>415</v>
      </c>
      <c r="D27" s="81">
        <v>36</v>
      </c>
      <c r="E27" s="81">
        <v>27</v>
      </c>
      <c r="F27" s="81">
        <v>30.4908466819222</v>
      </c>
      <c r="G27" s="81">
        <f t="shared" si="0"/>
        <v>3</v>
      </c>
      <c r="H27" s="81">
        <f t="shared" si="1"/>
        <v>1.0049778357411612</v>
      </c>
      <c r="I27" s="81">
        <f>D27*G27*H27*SUPUESTOS_PARAMETROS!$B$14</f>
        <v>2821.9777627611807</v>
      </c>
      <c r="J27" s="81">
        <f>I27*SUPUESTOS_PARAMETROS!$B$20</f>
        <v>9086.7512880112026</v>
      </c>
      <c r="K27" s="81">
        <f>J27*TARIFAS_CATEGORIA!$D$11</f>
        <v>31849.06326447926</v>
      </c>
      <c r="L27" s="81">
        <f>J27*TARIFAS_CATEGORIA!$F$11</f>
        <v>25442.903606431362</v>
      </c>
      <c r="M27" s="81">
        <f>(I27/SUPUESTOS_PARAMETROS!$B$27)*SUPUESTOS_PARAMETROS!$B$29*(1+SUPUESTOS_PARAMETROS!$B$28)+COSTOS_OPERACION_COV!$E$7*(I27/SUPUESTOS_PARAMETROS!$B$17)+COSTOS_OPERACION_COV!$E$11+COSTOS_OPERACION_COV!$E$12+COSTOS_OPERACION_COV!$E$13+SUM(COSTOS_OPERACION_COV!$E$14:$E$20)</f>
        <v>17940.375176756948</v>
      </c>
      <c r="N27" s="81">
        <f>COSTOS_OPERACION_COV!$E$26</f>
        <v>1653</v>
      </c>
      <c r="O27" s="81">
        <f>K27-M27-N27-COSTOS_OPERACION_COV!$E$27</f>
        <v>10437.388087722313</v>
      </c>
      <c r="P27" s="81">
        <f>L27-M27-N27-COSTOS_OPERACION_COV!$E$27</f>
        <v>4031.2284296744137</v>
      </c>
      <c r="Q27" s="19" t="str">
        <f t="shared" si="2"/>
        <v>CUBRE COSTO</v>
      </c>
    </row>
    <row r="28" spans="1:17" x14ac:dyDescent="0.25">
      <c r="A28" s="19">
        <v>22</v>
      </c>
      <c r="B28" s="6" t="s">
        <v>413</v>
      </c>
      <c r="C28" s="6" t="s">
        <v>416</v>
      </c>
      <c r="D28" s="81">
        <v>31</v>
      </c>
      <c r="E28" s="81">
        <v>27</v>
      </c>
      <c r="F28" s="81">
        <v>30.4908466819222</v>
      </c>
      <c r="G28" s="81">
        <f t="shared" si="0"/>
        <v>3</v>
      </c>
      <c r="H28" s="81">
        <f t="shared" si="1"/>
        <v>1.0049778357411612</v>
      </c>
      <c r="I28" s="81">
        <f>D28*G28*H28*SUPUESTOS_PARAMETROS!$B$14</f>
        <v>2430.0364068221279</v>
      </c>
      <c r="J28" s="81">
        <f>I28*SUPUESTOS_PARAMETROS!$B$20</f>
        <v>7824.7024980096476</v>
      </c>
      <c r="K28" s="81">
        <f>J28*TARIFAS_CATEGORIA!$D$11</f>
        <v>27425.582255523812</v>
      </c>
      <c r="L28" s="81">
        <f>J28*TARIFAS_CATEGORIA!$F$11</f>
        <v>21909.166994427007</v>
      </c>
      <c r="M28" s="81">
        <f>(I28/SUPUESTOS_PARAMETROS!$B$27)*SUPUESTOS_PARAMETROS!$B$29*(1+SUPUESTOS_PARAMETROS!$B$28)+COSTOS_OPERACION_COV!$E$7*(I28/SUPUESTOS_PARAMETROS!$B$17)+COSTOS_OPERACION_COV!$E$11+COSTOS_OPERACION_COV!$E$12+COSTOS_OPERACION_COV!$E$13+SUM(COSTOS_OPERACION_COV!$E$14:$E$20)</f>
        <v>16340.550876013411</v>
      </c>
      <c r="N28" s="81">
        <f>COSTOS_OPERACION_COV!$E$26</f>
        <v>1653</v>
      </c>
      <c r="O28" s="81">
        <f>K28-M28-N28-COSTOS_OPERACION_COV!$E$27</f>
        <v>7613.731379510401</v>
      </c>
      <c r="P28" s="81">
        <f>L28-M28-N28-COSTOS_OPERACION_COV!$E$27</f>
        <v>2097.3161184135961</v>
      </c>
      <c r="Q28" s="19" t="str">
        <f t="shared" si="2"/>
        <v>CUBRE COSTO</v>
      </c>
    </row>
    <row r="29" spans="1:17" x14ac:dyDescent="0.25">
      <c r="A29" s="19">
        <v>23</v>
      </c>
      <c r="B29" s="6" t="s">
        <v>413</v>
      </c>
      <c r="C29" s="6" t="s">
        <v>417</v>
      </c>
      <c r="D29" s="81">
        <v>34</v>
      </c>
      <c r="E29" s="81">
        <v>27</v>
      </c>
      <c r="F29" s="81">
        <v>30.4908466819222</v>
      </c>
      <c r="G29" s="81">
        <f t="shared" si="0"/>
        <v>3</v>
      </c>
      <c r="H29" s="81">
        <f t="shared" si="1"/>
        <v>1.0049778357411612</v>
      </c>
      <c r="I29" s="81">
        <f>D29*G29*H29*SUPUESTOS_PARAMETROS!$B$14</f>
        <v>2665.2012203855597</v>
      </c>
      <c r="J29" s="81">
        <f>I29*SUPUESTOS_PARAMETROS!$B$20</f>
        <v>8581.931772010581</v>
      </c>
      <c r="K29" s="81">
        <f>J29*TARIFAS_CATEGORIA!$D$11</f>
        <v>30079.67086089708</v>
      </c>
      <c r="L29" s="81">
        <f>J29*TARIFAS_CATEGORIA!$F$11</f>
        <v>24029.408961629622</v>
      </c>
      <c r="M29" s="81">
        <f>(I29/SUPUESTOS_PARAMETROS!$B$27)*SUPUESTOS_PARAMETROS!$B$29*(1+SUPUESTOS_PARAMETROS!$B$28)+COSTOS_OPERACION_COV!$E$7*(I29/SUPUESTOS_PARAMETROS!$B$17)+COSTOS_OPERACION_COV!$E$11+COSTOS_OPERACION_COV!$E$12+COSTOS_OPERACION_COV!$E$13+SUM(COSTOS_OPERACION_COV!$E$14:$E$20)</f>
        <v>17300.445456459536</v>
      </c>
      <c r="N29" s="81">
        <f>COSTOS_OPERACION_COV!$E$26</f>
        <v>1653</v>
      </c>
      <c r="O29" s="81">
        <f>K29-M29-N29-COSTOS_OPERACION_COV!$E$27</f>
        <v>9307.9254044375448</v>
      </c>
      <c r="P29" s="81">
        <f>L29-M29-N29-COSTOS_OPERACION_COV!$E$27</f>
        <v>3257.663505170086</v>
      </c>
      <c r="Q29" s="19" t="str">
        <f t="shared" si="2"/>
        <v>CUBRE COSTO</v>
      </c>
    </row>
    <row r="30" spans="1:17" x14ac:dyDescent="0.25">
      <c r="A30" s="19">
        <v>24</v>
      </c>
      <c r="B30" s="6" t="s">
        <v>413</v>
      </c>
      <c r="C30" s="6" t="s">
        <v>418</v>
      </c>
      <c r="D30" s="81">
        <v>30</v>
      </c>
      <c r="E30" s="81">
        <v>28</v>
      </c>
      <c r="F30" s="81">
        <v>31.620137299771169</v>
      </c>
      <c r="G30" s="81">
        <f t="shared" si="0"/>
        <v>3</v>
      </c>
      <c r="H30" s="81">
        <f t="shared" si="1"/>
        <v>1.0049778357411612</v>
      </c>
      <c r="I30" s="81">
        <f>D30*G30*H30*SUPUESTOS_PARAMETROS!$B$14</f>
        <v>2351.648135634317</v>
      </c>
      <c r="J30" s="81">
        <f>I30*SUPUESTOS_PARAMETROS!$B$20</f>
        <v>7572.2927400093349</v>
      </c>
      <c r="K30" s="81">
        <f>J30*TARIFAS_CATEGORIA!$D$11</f>
        <v>26540.886053732716</v>
      </c>
      <c r="L30" s="81">
        <f>J30*TARIFAS_CATEGORIA!$F$11</f>
        <v>21202.419672026132</v>
      </c>
      <c r="M30" s="81">
        <f>(I30/SUPUESTOS_PARAMETROS!$B$27)*SUPUESTOS_PARAMETROS!$B$29*(1+SUPUESTOS_PARAMETROS!$B$28)+COSTOS_OPERACION_COV!$E$7*(I30/SUPUESTOS_PARAMETROS!$B$17)+COSTOS_OPERACION_COV!$E$11+COSTOS_OPERACION_COV!$E$12+COSTOS_OPERACION_COV!$E$13+SUM(COSTOS_OPERACION_COV!$E$14:$E$20)</f>
        <v>16020.586015864703</v>
      </c>
      <c r="N30" s="81">
        <f>COSTOS_OPERACION_COV!$E$26</f>
        <v>1653</v>
      </c>
      <c r="O30" s="81">
        <f>K30-M30-N30-COSTOS_OPERACION_COV!$E$27</f>
        <v>7049.0000378680134</v>
      </c>
      <c r="P30" s="81">
        <f>L30-M30-N30-COSTOS_OPERACION_COV!$E$27</f>
        <v>1710.5336561614288</v>
      </c>
      <c r="Q30" s="19" t="str">
        <f t="shared" si="2"/>
        <v>CUBRE COSTO</v>
      </c>
    </row>
    <row r="31" spans="1:17" x14ac:dyDescent="0.25">
      <c r="A31" s="19">
        <v>25</v>
      </c>
      <c r="B31" s="6" t="s">
        <v>413</v>
      </c>
      <c r="C31" s="6" t="s">
        <v>419</v>
      </c>
      <c r="D31" s="81">
        <v>28</v>
      </c>
      <c r="E31" s="81">
        <v>27</v>
      </c>
      <c r="F31" s="81">
        <v>30.4908466819222</v>
      </c>
      <c r="G31" s="81">
        <f t="shared" si="0"/>
        <v>3</v>
      </c>
      <c r="H31" s="81">
        <f t="shared" si="1"/>
        <v>1.0049778357411612</v>
      </c>
      <c r="I31" s="81">
        <f>D31*G31*H31*SUPUESTOS_PARAMETROS!$B$14</f>
        <v>2194.8715932586961</v>
      </c>
      <c r="J31" s="81">
        <f>I31*SUPUESTOS_PARAMETROS!$B$20</f>
        <v>7067.4732240087133</v>
      </c>
      <c r="K31" s="81">
        <f>J31*TARIFAS_CATEGORIA!$D$11</f>
        <v>24771.493650150536</v>
      </c>
      <c r="L31" s="81">
        <f>J31*TARIFAS_CATEGORIA!$F$11</f>
        <v>19788.925027224392</v>
      </c>
      <c r="M31" s="81">
        <f>(I31/SUPUESTOS_PARAMETROS!$B$27)*SUPUESTOS_PARAMETROS!$B$29*(1+SUPUESTOS_PARAMETROS!$B$28)+COSTOS_OPERACION_COV!$E$7*(I31/SUPUESTOS_PARAMETROS!$B$17)+COSTOS_OPERACION_COV!$E$11+COSTOS_OPERACION_COV!$E$12+COSTOS_OPERACION_COV!$E$13+SUM(COSTOS_OPERACION_COV!$E$14:$E$20)</f>
        <v>15380.656295567287</v>
      </c>
      <c r="N31" s="81">
        <f>COSTOS_OPERACION_COV!$E$26</f>
        <v>1653</v>
      </c>
      <c r="O31" s="81">
        <f>K31-M31-N31-COSTOS_OPERACION_COV!$E$27</f>
        <v>5919.537354583249</v>
      </c>
      <c r="P31" s="81">
        <f>L31-M31-N31-COSTOS_OPERACION_COV!$E$27</f>
        <v>936.96873165710463</v>
      </c>
      <c r="Q31" s="19" t="str">
        <f t="shared" si="2"/>
        <v>CUBRE COSTO</v>
      </c>
    </row>
    <row r="32" spans="1:17" x14ac:dyDescent="0.25">
      <c r="A32" s="19">
        <v>26</v>
      </c>
      <c r="B32" s="6" t="s">
        <v>413</v>
      </c>
      <c r="C32" s="6" t="s">
        <v>420</v>
      </c>
      <c r="D32" s="81">
        <v>32</v>
      </c>
      <c r="E32" s="81">
        <v>27</v>
      </c>
      <c r="F32" s="81">
        <v>30.4908466819222</v>
      </c>
      <c r="G32" s="81">
        <f t="shared" si="0"/>
        <v>3</v>
      </c>
      <c r="H32" s="81">
        <f t="shared" si="1"/>
        <v>1.0049778357411612</v>
      </c>
      <c r="I32" s="81">
        <f>D32*G32*H32*SUPUESTOS_PARAMETROS!$B$14</f>
        <v>2508.4246780099384</v>
      </c>
      <c r="J32" s="81">
        <f>I32*SUPUESTOS_PARAMETROS!$B$20</f>
        <v>8077.1122560099584</v>
      </c>
      <c r="K32" s="81">
        <f>J32*TARIFAS_CATEGORIA!$D$11</f>
        <v>28310.2784573149</v>
      </c>
      <c r="L32" s="81">
        <f>J32*TARIFAS_CATEGORIA!$F$11</f>
        <v>22615.914316827879</v>
      </c>
      <c r="M32" s="81">
        <f>(I32/SUPUESTOS_PARAMETROS!$B$27)*SUPUESTOS_PARAMETROS!$B$29*(1+SUPUESTOS_PARAMETROS!$B$28)+COSTOS_OPERACION_COV!$E$7*(I32/SUPUESTOS_PARAMETROS!$B$17)+COSTOS_OPERACION_COV!$E$11+COSTOS_OPERACION_COV!$E$12+COSTOS_OPERACION_COV!$E$13+SUM(COSTOS_OPERACION_COV!$E$14:$E$20)</f>
        <v>16660.51573616212</v>
      </c>
      <c r="N32" s="81">
        <f>COSTOS_OPERACION_COV!$E$26</f>
        <v>1653</v>
      </c>
      <c r="O32" s="81">
        <f>K32-M32-N32-COSTOS_OPERACION_COV!$E$27</f>
        <v>8178.4627211527795</v>
      </c>
      <c r="P32" s="81">
        <f>L32-M32-N32-COSTOS_OPERACION_COV!$E$27</f>
        <v>2484.0985806657582</v>
      </c>
      <c r="Q32" s="19" t="str">
        <f t="shared" si="2"/>
        <v>CUBRE COSTO</v>
      </c>
    </row>
    <row r="33" spans="1:17" x14ac:dyDescent="0.25">
      <c r="A33" s="19">
        <v>27</v>
      </c>
      <c r="B33" s="6" t="s">
        <v>413</v>
      </c>
      <c r="C33" s="6" t="s">
        <v>421</v>
      </c>
      <c r="D33" s="81">
        <v>22</v>
      </c>
      <c r="E33" s="81">
        <v>27</v>
      </c>
      <c r="F33" s="81">
        <v>30.4908466819222</v>
      </c>
      <c r="G33" s="81">
        <f t="shared" si="0"/>
        <v>3</v>
      </c>
      <c r="H33" s="81">
        <f t="shared" si="1"/>
        <v>1.0049778357411612</v>
      </c>
      <c r="I33" s="81">
        <f>D33*G33*H33*SUPUESTOS_PARAMETROS!$B$14</f>
        <v>1724.5419661318324</v>
      </c>
      <c r="J33" s="81">
        <f>I33*SUPUESTOS_PARAMETROS!$B$20</f>
        <v>5553.0146760068455</v>
      </c>
      <c r="K33" s="81">
        <f>J33*TARIFAS_CATEGORIA!$D$11</f>
        <v>19463.316439403992</v>
      </c>
      <c r="L33" s="81">
        <f>J33*TARIFAS_CATEGORIA!$F$11</f>
        <v>15548.441092819165</v>
      </c>
      <c r="M33" s="81">
        <f>(I33/SUPUESTOS_PARAMETROS!$B$27)*SUPUESTOS_PARAMETROS!$B$29*(1+SUPUESTOS_PARAMETROS!$B$28)+COSTOS_OPERACION_COV!$E$7*(I33/SUPUESTOS_PARAMETROS!$B$17)+COSTOS_OPERACION_COV!$E$11+COSTOS_OPERACION_COV!$E$12+COSTOS_OPERACION_COV!$E$13+SUM(COSTOS_OPERACION_COV!$E$14:$E$20)</f>
        <v>13460.867134675038</v>
      </c>
      <c r="N33" s="81">
        <f>COSTOS_OPERACION_COV!$E$26</f>
        <v>1653</v>
      </c>
      <c r="O33" s="81">
        <f>K33-M33-N33-COSTOS_OPERACION_COV!$E$27</f>
        <v>2531.1493047289541</v>
      </c>
      <c r="P33" s="81">
        <f>L33-M33-N33-COSTOS_OPERACION_COV!$E$27</f>
        <v>-1383.7260418558733</v>
      </c>
      <c r="Q33" s="19" t="str">
        <f t="shared" si="2"/>
        <v>CUBRE COSTO</v>
      </c>
    </row>
    <row r="34" spans="1:17" x14ac:dyDescent="0.25">
      <c r="A34" s="19">
        <v>28</v>
      </c>
      <c r="B34" s="6" t="s">
        <v>413</v>
      </c>
      <c r="C34" s="6" t="s">
        <v>422</v>
      </c>
      <c r="D34" s="81">
        <v>29</v>
      </c>
      <c r="E34" s="81">
        <v>28</v>
      </c>
      <c r="F34" s="81">
        <v>31.620137299771169</v>
      </c>
      <c r="G34" s="81">
        <f t="shared" si="0"/>
        <v>3</v>
      </c>
      <c r="H34" s="81">
        <f t="shared" si="1"/>
        <v>1.0049778357411612</v>
      </c>
      <c r="I34" s="81">
        <f>D34*G34*H34*SUPUESTOS_PARAMETROS!$B$14</f>
        <v>2273.2598644465065</v>
      </c>
      <c r="J34" s="81">
        <f>I34*SUPUESTOS_PARAMETROS!$B$20</f>
        <v>7319.8829820090241</v>
      </c>
      <c r="K34" s="81">
        <f>J34*TARIFAS_CATEGORIA!$D$11</f>
        <v>25656.189851941625</v>
      </c>
      <c r="L34" s="81">
        <f>J34*TARIFAS_CATEGORIA!$F$11</f>
        <v>20495.672349625263</v>
      </c>
      <c r="M34" s="81">
        <f>(I34/SUPUESTOS_PARAMETROS!$B$27)*SUPUESTOS_PARAMETROS!$B$29*(1+SUPUESTOS_PARAMETROS!$B$28)+COSTOS_OPERACION_COV!$E$7*(I34/SUPUESTOS_PARAMETROS!$B$17)+COSTOS_OPERACION_COV!$E$11+COSTOS_OPERACION_COV!$E$12+COSTOS_OPERACION_COV!$E$13+SUM(COSTOS_OPERACION_COV!$E$14:$E$20)</f>
        <v>15700.621155715995</v>
      </c>
      <c r="N34" s="81">
        <f>COSTOS_OPERACION_COV!$E$26</f>
        <v>1653</v>
      </c>
      <c r="O34" s="81">
        <f>K34-M34-N34-COSTOS_OPERACION_COV!$E$27</f>
        <v>6484.2686962256294</v>
      </c>
      <c r="P34" s="81">
        <f>L34-M34-N34-COSTOS_OPERACION_COV!$E$27</f>
        <v>1323.7511939092685</v>
      </c>
      <c r="Q34" s="19" t="str">
        <f t="shared" si="2"/>
        <v>CUBRE COSTO</v>
      </c>
    </row>
    <row r="35" spans="1:17" x14ac:dyDescent="0.25">
      <c r="A35" s="19">
        <v>29</v>
      </c>
      <c r="B35" s="6" t="s">
        <v>413</v>
      </c>
      <c r="C35" s="6" t="s">
        <v>423</v>
      </c>
      <c r="D35" s="81">
        <v>20</v>
      </c>
      <c r="E35" s="81">
        <v>27</v>
      </c>
      <c r="F35" s="81">
        <v>30.4908466819222</v>
      </c>
      <c r="G35" s="81">
        <f t="shared" si="0"/>
        <v>3</v>
      </c>
      <c r="H35" s="81">
        <f t="shared" si="1"/>
        <v>1.0049778357411612</v>
      </c>
      <c r="I35" s="81">
        <f>D35*G35*H35*SUPUESTOS_PARAMETROS!$B$14</f>
        <v>1567.7654237562115</v>
      </c>
      <c r="J35" s="81">
        <f>I35*SUPUESTOS_PARAMETROS!$B$20</f>
        <v>5048.1951600062239</v>
      </c>
      <c r="K35" s="81">
        <f>J35*TARIFAS_CATEGORIA!$D$11</f>
        <v>17693.924035821812</v>
      </c>
      <c r="L35" s="81">
        <f>J35*TARIFAS_CATEGORIA!$F$11</f>
        <v>14134.946448017423</v>
      </c>
      <c r="M35" s="81">
        <f>(I35/SUPUESTOS_PARAMETROS!$B$27)*SUPUESTOS_PARAMETROS!$B$29*(1+SUPUESTOS_PARAMETROS!$B$28)+COSTOS_OPERACION_COV!$E$7*(I35/SUPUESTOS_PARAMETROS!$B$17)+COSTOS_OPERACION_COV!$E$11+COSTOS_OPERACION_COV!$E$12+COSTOS_OPERACION_COV!$E$13+SUM(COSTOS_OPERACION_COV!$E$14:$E$20)</f>
        <v>12820.937414377624</v>
      </c>
      <c r="N35" s="81">
        <f>COSTOS_OPERACION_COV!$E$26</f>
        <v>1653</v>
      </c>
      <c r="O35" s="81">
        <f>K35-M35-N35-COSTOS_OPERACION_COV!$E$27</f>
        <v>1401.6866214441882</v>
      </c>
      <c r="P35" s="81">
        <f>L35-M35-N35-COSTOS_OPERACION_COV!$E$27</f>
        <v>-2157.2909663602013</v>
      </c>
      <c r="Q35" s="19" t="str">
        <f t="shared" si="2"/>
        <v>CUBRE COSTO</v>
      </c>
    </row>
    <row r="36" spans="1:17" x14ac:dyDescent="0.25">
      <c r="A36" s="19">
        <v>30</v>
      </c>
      <c r="B36" s="6" t="s">
        <v>413</v>
      </c>
      <c r="C36" s="6" t="s">
        <v>424</v>
      </c>
      <c r="D36" s="81">
        <v>20</v>
      </c>
      <c r="E36" s="81">
        <v>27</v>
      </c>
      <c r="F36" s="81">
        <v>30.4908466819222</v>
      </c>
      <c r="G36" s="81">
        <f t="shared" si="0"/>
        <v>3</v>
      </c>
      <c r="H36" s="81">
        <f t="shared" si="1"/>
        <v>1.0049778357411612</v>
      </c>
      <c r="I36" s="81">
        <f>D36*G36*H36*SUPUESTOS_PARAMETROS!$B$14</f>
        <v>1567.7654237562115</v>
      </c>
      <c r="J36" s="81">
        <f>I36*SUPUESTOS_PARAMETROS!$B$20</f>
        <v>5048.1951600062239</v>
      </c>
      <c r="K36" s="81">
        <f>J36*TARIFAS_CATEGORIA!$D$11</f>
        <v>17693.924035821812</v>
      </c>
      <c r="L36" s="81">
        <f>J36*TARIFAS_CATEGORIA!$F$11</f>
        <v>14134.946448017423</v>
      </c>
      <c r="M36" s="81">
        <f>(I36/SUPUESTOS_PARAMETROS!$B$27)*SUPUESTOS_PARAMETROS!$B$29*(1+SUPUESTOS_PARAMETROS!$B$28)+COSTOS_OPERACION_COV!$E$7*(I36/SUPUESTOS_PARAMETROS!$B$17)+COSTOS_OPERACION_COV!$E$11+COSTOS_OPERACION_COV!$E$12+COSTOS_OPERACION_COV!$E$13+SUM(COSTOS_OPERACION_COV!$E$14:$E$20)</f>
        <v>12820.937414377624</v>
      </c>
      <c r="N36" s="81">
        <f>COSTOS_OPERACION_COV!$E$26</f>
        <v>1653</v>
      </c>
      <c r="O36" s="81">
        <f>K36-M36-N36-COSTOS_OPERACION_COV!$E$27</f>
        <v>1401.6866214441882</v>
      </c>
      <c r="P36" s="81">
        <f>L36-M36-N36-COSTOS_OPERACION_COV!$E$27</f>
        <v>-2157.2909663602013</v>
      </c>
      <c r="Q36" s="19" t="str">
        <f t="shared" si="2"/>
        <v>CUBRE COSTO</v>
      </c>
    </row>
    <row r="37" spans="1:17" x14ac:dyDescent="0.25">
      <c r="A37" s="19">
        <v>31</v>
      </c>
      <c r="B37" s="6" t="s">
        <v>413</v>
      </c>
      <c r="C37" s="6" t="s">
        <v>425</v>
      </c>
      <c r="D37" s="81">
        <v>23</v>
      </c>
      <c r="E37" s="81">
        <v>28</v>
      </c>
      <c r="F37" s="81">
        <v>31.620137299771169</v>
      </c>
      <c r="G37" s="81">
        <f t="shared" si="0"/>
        <v>3</v>
      </c>
      <c r="H37" s="81">
        <f t="shared" si="1"/>
        <v>1.0049778357411612</v>
      </c>
      <c r="I37" s="81">
        <f>D37*G37*H37*SUPUESTOS_PARAMETROS!$B$14</f>
        <v>1802.9302373196431</v>
      </c>
      <c r="J37" s="81">
        <f>I37*SUPUESTOS_PARAMETROS!$B$20</f>
        <v>5805.4244340071573</v>
      </c>
      <c r="K37" s="81">
        <f>J37*TARIFAS_CATEGORIA!$D$11</f>
        <v>20348.012641195084</v>
      </c>
      <c r="L37" s="81">
        <f>J37*TARIFAS_CATEGORIA!$F$11</f>
        <v>16255.188415220036</v>
      </c>
      <c r="M37" s="81">
        <f>(I37/SUPUESTOS_PARAMETROS!$B$27)*SUPUESTOS_PARAMETROS!$B$29*(1+SUPUESTOS_PARAMETROS!$B$28)+COSTOS_OPERACION_COV!$E$7*(I37/SUPUESTOS_PARAMETROS!$B$17)+COSTOS_OPERACION_COV!$E$11+COSTOS_OPERACION_COV!$E$12+COSTOS_OPERACION_COV!$E$13+SUM(COSTOS_OPERACION_COV!$E$14:$E$20)</f>
        <v>13780.831994823748</v>
      </c>
      <c r="N37" s="81">
        <f>COSTOS_OPERACION_COV!$E$26</f>
        <v>1653</v>
      </c>
      <c r="O37" s="81">
        <f>K37-M37-N37-COSTOS_OPERACION_COV!$E$27</f>
        <v>3095.8806463713363</v>
      </c>
      <c r="P37" s="81">
        <f>L37-M37-N37-COSTOS_OPERACION_COV!$E$27</f>
        <v>-996.94357960371121</v>
      </c>
      <c r="Q37" s="19" t="str">
        <f t="shared" si="2"/>
        <v>CUBRE COSTO</v>
      </c>
    </row>
    <row r="38" spans="1:17" x14ac:dyDescent="0.25">
      <c r="A38" s="19">
        <v>32</v>
      </c>
      <c r="B38" s="6" t="s">
        <v>413</v>
      </c>
      <c r="C38" s="6" t="s">
        <v>426</v>
      </c>
      <c r="D38" s="81">
        <v>26</v>
      </c>
      <c r="E38" s="81">
        <v>27</v>
      </c>
      <c r="F38" s="81">
        <v>30.4908466819222</v>
      </c>
      <c r="G38" s="81">
        <f t="shared" si="0"/>
        <v>3</v>
      </c>
      <c r="H38" s="81">
        <f t="shared" si="1"/>
        <v>1.0049778357411612</v>
      </c>
      <c r="I38" s="81">
        <f>D38*G38*H38*SUPUESTOS_PARAMETROS!$B$14</f>
        <v>2038.0950508830749</v>
      </c>
      <c r="J38" s="81">
        <f>I38*SUPUESTOS_PARAMETROS!$B$20</f>
        <v>6562.6537080080916</v>
      </c>
      <c r="K38" s="81">
        <f>J38*TARIFAS_CATEGORIA!$D$11</f>
        <v>23002.101246568356</v>
      </c>
      <c r="L38" s="81">
        <f>J38*TARIFAS_CATEGORIA!$F$11</f>
        <v>18375.430382422652</v>
      </c>
      <c r="M38" s="81">
        <f>(I38/SUPUESTOS_PARAMETROS!$B$27)*SUPUESTOS_PARAMETROS!$B$29*(1+SUPUESTOS_PARAMETROS!$B$28)+COSTOS_OPERACION_COV!$E$7*(I38/SUPUESTOS_PARAMETROS!$B$17)+COSTOS_OPERACION_COV!$E$11+COSTOS_OPERACION_COV!$E$12+COSTOS_OPERACION_COV!$E$13+SUM(COSTOS_OPERACION_COV!$E$14:$E$20)</f>
        <v>14740.726575269871</v>
      </c>
      <c r="N38" s="81">
        <f>COSTOS_OPERACION_COV!$E$26</f>
        <v>1653</v>
      </c>
      <c r="O38" s="81">
        <f>K38-M38-N38-COSTOS_OPERACION_COV!$E$27</f>
        <v>4790.0746712984846</v>
      </c>
      <c r="P38" s="81">
        <f>L38-M38-N38-COSTOS_OPERACION_COV!$E$27</f>
        <v>163.40380715278047</v>
      </c>
      <c r="Q38" s="19" t="str">
        <f t="shared" si="2"/>
        <v>CUBRE COSTO</v>
      </c>
    </row>
    <row r="39" spans="1:17" x14ac:dyDescent="0.25">
      <c r="A39" s="11" t="s">
        <v>427</v>
      </c>
      <c r="B39" s="59"/>
      <c r="C39" s="59"/>
      <c r="D39" s="82"/>
      <c r="E39" s="82">
        <f>SUM(E7:E38)</f>
        <v>874</v>
      </c>
      <c r="F39" s="82">
        <f>SUM(F7:F38)</f>
        <v>987.00000000000034</v>
      </c>
      <c r="G39" s="82"/>
      <c r="H39" s="82"/>
      <c r="I39" s="82">
        <f t="shared" ref="I39:P39" si="3">AVERAGE(I7:I38)</f>
        <v>2172.8493883218703</v>
      </c>
      <c r="J39" s="82">
        <f t="shared" si="3"/>
        <v>6996.5618576205006</v>
      </c>
      <c r="K39" s="82">
        <f t="shared" si="3"/>
        <v>24522.949310959855</v>
      </c>
      <c r="L39" s="82">
        <f t="shared" si="3"/>
        <v>19590.373201337396</v>
      </c>
      <c r="M39" s="82">
        <f t="shared" si="3"/>
        <v>15290.766167669261</v>
      </c>
      <c r="N39" s="82">
        <f t="shared" si="3"/>
        <v>1653</v>
      </c>
      <c r="O39" s="82">
        <f t="shared" si="3"/>
        <v>5760.8831432905936</v>
      </c>
      <c r="P39" s="82">
        <f t="shared" si="3"/>
        <v>828.30703366813862</v>
      </c>
      <c r="Q39" s="17" t="str">
        <f>COUNTIF(Q7:Q38,"DÉFICIT")&amp;" deficitarias"</f>
        <v>1 deficitarias</v>
      </c>
    </row>
  </sheetData>
  <mergeCells count="2">
    <mergeCell ref="A2:Q2"/>
    <mergeCell ref="A1:Q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9"/>
  <sheetViews>
    <sheetView workbookViewId="0">
      <selection activeCell="G21" sqref="G21"/>
    </sheetView>
  </sheetViews>
  <sheetFormatPr baseColWidth="10" defaultColWidth="9.140625" defaultRowHeight="15" x14ac:dyDescent="0.25"/>
  <cols>
    <col min="1" max="1" width="38" customWidth="1"/>
    <col min="2" max="7" width="16" customWidth="1"/>
    <col min="8" max="8" width="44" customWidth="1"/>
  </cols>
  <sheetData>
    <row r="1" spans="1:8" ht="18.75" x14ac:dyDescent="0.25">
      <c r="A1" s="69" t="s">
        <v>428</v>
      </c>
      <c r="B1" s="67"/>
      <c r="C1" s="67"/>
      <c r="D1" s="67"/>
      <c r="E1" s="67"/>
      <c r="F1" s="67"/>
      <c r="G1" s="67"/>
      <c r="H1" s="67"/>
    </row>
    <row r="2" spans="1:8" x14ac:dyDescent="0.25">
      <c r="A2" s="74" t="s">
        <v>429</v>
      </c>
      <c r="B2" s="67"/>
      <c r="C2" s="67"/>
      <c r="D2" s="67"/>
      <c r="E2" s="67"/>
      <c r="F2" s="67"/>
      <c r="G2" s="67"/>
      <c r="H2" s="67"/>
    </row>
    <row r="4" spans="1:8" x14ac:dyDescent="0.25">
      <c r="A4" s="66" t="s">
        <v>430</v>
      </c>
      <c r="B4" s="67"/>
      <c r="C4" s="67"/>
      <c r="D4" s="67"/>
      <c r="E4" s="67"/>
      <c r="F4" s="67"/>
      <c r="G4" s="67"/>
      <c r="H4" s="67"/>
    </row>
    <row r="5" spans="1:8" x14ac:dyDescent="0.25">
      <c r="A5" s="5" t="s">
        <v>431</v>
      </c>
      <c r="B5" s="5" t="s">
        <v>432</v>
      </c>
      <c r="C5" s="5" t="s">
        <v>433</v>
      </c>
      <c r="D5" s="5" t="s">
        <v>434</v>
      </c>
      <c r="E5" s="5" t="s">
        <v>435</v>
      </c>
      <c r="F5" s="5" t="s">
        <v>436</v>
      </c>
      <c r="G5" s="5" t="s">
        <v>437</v>
      </c>
      <c r="H5" s="5" t="s">
        <v>438</v>
      </c>
    </row>
    <row r="6" spans="1:8" x14ac:dyDescent="0.25">
      <c r="A6" s="41" t="s">
        <v>29</v>
      </c>
      <c r="B6" s="42">
        <f>COSTOS_OPERACION_COV!E6</f>
        <v>8154.1392419637104</v>
      </c>
      <c r="C6" s="60">
        <f>B6/$B$11</f>
        <v>0.43463191887782354</v>
      </c>
      <c r="D6" s="61">
        <v>100</v>
      </c>
      <c r="E6" s="61">
        <v>100</v>
      </c>
      <c r="F6" s="43">
        <f>E6/D6</f>
        <v>1</v>
      </c>
      <c r="G6" s="43">
        <f>C6*F6</f>
        <v>0.43463191887782354</v>
      </c>
      <c r="H6" s="41" t="s">
        <v>439</v>
      </c>
    </row>
    <row r="7" spans="1:8" x14ac:dyDescent="0.25">
      <c r="A7" s="41" t="s">
        <v>440</v>
      </c>
      <c r="B7" s="42">
        <f>COSTOS_OPERACION_COV!E12+COSTOS_OPERACION_COV!E13</f>
        <v>3574.9999998900003</v>
      </c>
      <c r="C7" s="60">
        <f>B7/$B$11</f>
        <v>0.19055464517260506</v>
      </c>
      <c r="D7" s="61">
        <v>100</v>
      </c>
      <c r="E7" s="61">
        <v>100</v>
      </c>
      <c r="F7" s="43">
        <f>E7/D7</f>
        <v>1</v>
      </c>
      <c r="G7" s="43">
        <f>C7*F7</f>
        <v>0.19055464517260506</v>
      </c>
      <c r="H7" s="41" t="s">
        <v>441</v>
      </c>
    </row>
    <row r="8" spans="1:8" x14ac:dyDescent="0.25">
      <c r="A8" s="41" t="s">
        <v>442</v>
      </c>
      <c r="B8" s="42">
        <f>COSTOS_OPERACION_COV!E7+COSTOS_OPERACION_COV!E11</f>
        <v>2840.1666666666665</v>
      </c>
      <c r="C8" s="60">
        <f>B8/$B$11</f>
        <v>0.15138655983619009</v>
      </c>
      <c r="D8" s="61">
        <v>100</v>
      </c>
      <c r="E8" s="61">
        <v>100</v>
      </c>
      <c r="F8" s="43">
        <f>E8/D8</f>
        <v>1</v>
      </c>
      <c r="G8" s="43">
        <f>C8*F8</f>
        <v>0.15138655983619009</v>
      </c>
      <c r="H8" s="41" t="s">
        <v>443</v>
      </c>
    </row>
    <row r="9" spans="1:8" x14ac:dyDescent="0.25">
      <c r="A9" s="41" t="s">
        <v>36</v>
      </c>
      <c r="B9" s="42">
        <f>SUM(COSTOS_OPERACION_COV!E14:E20)</f>
        <v>720.41666666666674</v>
      </c>
      <c r="C9" s="60">
        <f>B9/$B$11</f>
        <v>3.8399648195054974E-2</v>
      </c>
      <c r="D9" s="61">
        <v>100</v>
      </c>
      <c r="E9" s="61">
        <v>100</v>
      </c>
      <c r="F9" s="43">
        <f>E9/D9</f>
        <v>1</v>
      </c>
      <c r="G9" s="43">
        <f>C9*F9</f>
        <v>3.8399648195054974E-2</v>
      </c>
      <c r="H9" s="41" t="s">
        <v>444</v>
      </c>
    </row>
    <row r="10" spans="1:8" x14ac:dyDescent="0.25">
      <c r="A10" s="41" t="s">
        <v>445</v>
      </c>
      <c r="B10" s="42">
        <f>COSTOS_OPERACION_COV!E28</f>
        <v>3471.3</v>
      </c>
      <c r="C10" s="60">
        <f>B10/$B$11</f>
        <v>0.18502722791832643</v>
      </c>
      <c r="D10" s="61">
        <v>100</v>
      </c>
      <c r="E10" s="61">
        <v>100</v>
      </c>
      <c r="F10" s="43">
        <f>E10/D10</f>
        <v>1</v>
      </c>
      <c r="G10" s="43">
        <f>C10*F10</f>
        <v>0.18502722791832643</v>
      </c>
      <c r="H10" s="41" t="s">
        <v>446</v>
      </c>
    </row>
    <row r="11" spans="1:8" x14ac:dyDescent="0.25">
      <c r="A11" s="11" t="s">
        <v>447</v>
      </c>
      <c r="B11" s="15">
        <f>SUM(B6:B10)</f>
        <v>18761.022575187042</v>
      </c>
      <c r="C11" s="12">
        <f>SUM(C6:C10)</f>
        <v>1</v>
      </c>
      <c r="D11" s="59"/>
      <c r="E11" s="59"/>
      <c r="F11" s="59"/>
      <c r="G11" s="14">
        <f>SUM(G6:G10)</f>
        <v>1</v>
      </c>
      <c r="H11" s="59"/>
    </row>
    <row r="13" spans="1:8" x14ac:dyDescent="0.25">
      <c r="A13" s="66" t="s">
        <v>448</v>
      </c>
      <c r="B13" s="67"/>
      <c r="C13" s="67"/>
      <c r="D13" s="67"/>
      <c r="E13" s="67"/>
      <c r="F13" s="67"/>
      <c r="G13" s="67"/>
      <c r="H13" s="67"/>
    </row>
    <row r="14" spans="1:8" x14ac:dyDescent="0.25">
      <c r="A14" s="25" t="s">
        <v>449</v>
      </c>
      <c r="B14" s="30">
        <f>G11</f>
        <v>1</v>
      </c>
      <c r="C14" s="40" t="s">
        <v>76</v>
      </c>
      <c r="D14" s="41" t="s">
        <v>450</v>
      </c>
    </row>
    <row r="15" spans="1:8" x14ac:dyDescent="0.25">
      <c r="A15" s="25" t="s">
        <v>451</v>
      </c>
      <c r="B15" s="31">
        <f>G11-1</f>
        <v>0</v>
      </c>
      <c r="C15" s="40" t="s">
        <v>265</v>
      </c>
      <c r="D15" s="41" t="s">
        <v>452</v>
      </c>
    </row>
    <row r="16" spans="1:8" x14ac:dyDescent="0.25">
      <c r="A16" s="25" t="s">
        <v>453</v>
      </c>
      <c r="B16" s="31">
        <f>SUPUESTOS_PARAMETROS!B37</f>
        <v>0.05</v>
      </c>
      <c r="C16" s="40" t="s">
        <v>454</v>
      </c>
      <c r="D16" s="41" t="s">
        <v>455</v>
      </c>
    </row>
    <row r="17" spans="1:4" x14ac:dyDescent="0.25">
      <c r="A17" s="25" t="s">
        <v>456</v>
      </c>
      <c r="B17" s="62" t="str">
        <f>IF(ABS(B15)&gt;=B16, "REVISAR TARIFA EN COMISIÓN MIXTA", "MANTENER TARIFA VIGENTE")</f>
        <v>MANTENER TARIFA VIGENTE</v>
      </c>
      <c r="C17" s="40" t="s">
        <v>457</v>
      </c>
      <c r="D17" s="41" t="s">
        <v>458</v>
      </c>
    </row>
    <row r="18" spans="1:4" x14ac:dyDescent="0.25">
      <c r="A18" s="25" t="s">
        <v>459</v>
      </c>
      <c r="B18" s="30">
        <f>COSTOS_OPERACION_COV!F32</f>
        <v>2.68177867170398</v>
      </c>
      <c r="C18" s="40" t="s">
        <v>460</v>
      </c>
      <c r="D18" s="41" t="s">
        <v>461</v>
      </c>
    </row>
    <row r="19" spans="1:4" x14ac:dyDescent="0.25">
      <c r="A19" s="25" t="s">
        <v>462</v>
      </c>
      <c r="B19" s="30">
        <f>B18*B14</f>
        <v>2.68177867170398</v>
      </c>
      <c r="C19" s="40" t="s">
        <v>460</v>
      </c>
      <c r="D19" s="41" t="s">
        <v>463</v>
      </c>
    </row>
  </sheetData>
  <mergeCells count="4">
    <mergeCell ref="A4:H4"/>
    <mergeCell ref="A13:H13"/>
    <mergeCell ref="A2:H2"/>
    <mergeCell ref="A1:H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9"/>
  <sheetViews>
    <sheetView workbookViewId="0">
      <selection activeCell="J9" sqref="J9"/>
    </sheetView>
  </sheetViews>
  <sheetFormatPr baseColWidth="10" defaultColWidth="9.140625" defaultRowHeight="15" x14ac:dyDescent="0.25"/>
  <cols>
    <col min="1" max="1" width="41.5703125" customWidth="1"/>
    <col min="2" max="2" width="9.42578125" customWidth="1"/>
    <col min="3" max="3" width="9.28515625" customWidth="1"/>
    <col min="4" max="4" width="9" customWidth="1"/>
    <col min="5" max="5" width="8.85546875" customWidth="1"/>
    <col min="6" max="6" width="8.5703125" customWidth="1"/>
    <col min="7" max="7" width="9.5703125" customWidth="1"/>
    <col min="8" max="8" width="11.7109375" customWidth="1"/>
    <col min="9" max="9" width="14.85546875" customWidth="1"/>
    <col min="10" max="10" width="13" customWidth="1"/>
    <col min="11" max="11" width="13.140625" customWidth="1"/>
    <col min="12" max="12" width="12" customWidth="1"/>
    <col min="13" max="13" width="36" customWidth="1"/>
  </cols>
  <sheetData>
    <row r="1" spans="1:13" ht="18.75" x14ac:dyDescent="0.25">
      <c r="A1" s="69" t="s">
        <v>464</v>
      </c>
      <c r="B1" s="67"/>
      <c r="C1" s="67"/>
      <c r="D1" s="67"/>
      <c r="E1" s="67"/>
      <c r="F1" s="67"/>
      <c r="G1" s="67"/>
      <c r="H1" s="67"/>
      <c r="I1" s="67"/>
      <c r="J1" s="67"/>
      <c r="K1" s="67"/>
      <c r="L1" s="67"/>
      <c r="M1" s="67"/>
    </row>
    <row r="2" spans="1:13" x14ac:dyDescent="0.25">
      <c r="A2" s="74" t="s">
        <v>465</v>
      </c>
      <c r="B2" s="67"/>
      <c r="C2" s="67"/>
      <c r="D2" s="67"/>
      <c r="E2" s="67"/>
      <c r="F2" s="67"/>
      <c r="G2" s="67"/>
      <c r="H2" s="67"/>
      <c r="I2" s="67"/>
      <c r="J2" s="67"/>
      <c r="K2" s="67"/>
      <c r="L2" s="67"/>
      <c r="M2" s="67"/>
    </row>
    <row r="4" spans="1:13" ht="24" x14ac:dyDescent="0.25">
      <c r="A4" s="80" t="s">
        <v>466</v>
      </c>
      <c r="B4" s="80" t="s">
        <v>184</v>
      </c>
      <c r="C4" s="80" t="s">
        <v>467</v>
      </c>
      <c r="D4" s="80" t="s">
        <v>185</v>
      </c>
      <c r="E4" s="80" t="s">
        <v>468</v>
      </c>
      <c r="F4" s="80" t="s">
        <v>469</v>
      </c>
      <c r="G4" s="80" t="s">
        <v>470</v>
      </c>
      <c r="H4" s="80" t="s">
        <v>471</v>
      </c>
      <c r="I4" s="80" t="s">
        <v>472</v>
      </c>
      <c r="J4" s="80" t="s">
        <v>473</v>
      </c>
      <c r="K4" s="80" t="s">
        <v>474</v>
      </c>
      <c r="L4" s="80" t="s">
        <v>48</v>
      </c>
      <c r="M4" s="80" t="s">
        <v>475</v>
      </c>
    </row>
    <row r="5" spans="1:13" x14ac:dyDescent="0.25">
      <c r="A5" s="54" t="s">
        <v>476</v>
      </c>
      <c r="B5" s="22">
        <f>SUPUESTOS_PARAMETROS!B11</f>
        <v>987</v>
      </c>
      <c r="C5" s="22">
        <f>SUPUESTOS_PARAMETROS!B13</f>
        <v>265569</v>
      </c>
      <c r="D5" s="8">
        <f>SUPUESTOS_PARAMETROS!B12</f>
        <v>82475</v>
      </c>
      <c r="E5" s="18">
        <f>SUPUESTOS_PARAMETROS!B27</f>
        <v>5.5</v>
      </c>
      <c r="F5" s="19">
        <v>1</v>
      </c>
      <c r="G5" s="9">
        <f>TARIFAS_CATEGORIA!D11</f>
        <v>3.5049999999999994</v>
      </c>
      <c r="H5" s="8">
        <f>ECONOMIA_PROPIETARIO!B8</f>
        <v>24520.06379939209</v>
      </c>
      <c r="I5" s="8">
        <f>COSTOS_OPERACION_COV!E30</f>
        <v>18761.022575187042</v>
      </c>
      <c r="J5" s="8">
        <f>ECONOMIA_PROPIETARIO!B22</f>
        <v>11152.341224095047</v>
      </c>
      <c r="K5" s="8">
        <f>ECONOMIA_PROPIETARIO!B20</f>
        <v>5759.041224205047</v>
      </c>
      <c r="L5" s="9">
        <f>COSTOS_OPERACION_COV!F32</f>
        <v>2.68177867170398</v>
      </c>
      <c r="M5" s="6" t="s">
        <v>477</v>
      </c>
    </row>
    <row r="6" spans="1:13" x14ac:dyDescent="0.25">
      <c r="A6" s="54" t="s">
        <v>478</v>
      </c>
      <c r="B6" s="22">
        <f>SUPUESTOS_PARAMETROS!B11</f>
        <v>987</v>
      </c>
      <c r="C6" s="22">
        <f>SUPUESTOS_PARAMETROS!B13</f>
        <v>265569</v>
      </c>
      <c r="D6" s="8">
        <f>SUPUESTOS_PARAMETROS!B12</f>
        <v>82475</v>
      </c>
      <c r="E6" s="18">
        <f>SUPUESTOS_PARAMETROS!B27</f>
        <v>5.5</v>
      </c>
      <c r="F6" s="19">
        <v>1</v>
      </c>
      <c r="G6" s="9">
        <f>TARIFAS_CATEGORIA!E11</f>
        <v>2.68177867170398</v>
      </c>
      <c r="H6" s="8">
        <f>ECONOMIA_PROPIETARIO!C8</f>
        <v>18761.022575187042</v>
      </c>
      <c r="I6" s="8">
        <f>COSTOS_OPERACION_COV!E30</f>
        <v>18761.022575187042</v>
      </c>
      <c r="J6" s="8">
        <f>ECONOMIA_PROPIETARIO!C22</f>
        <v>5393.2999998899995</v>
      </c>
      <c r="K6" s="8">
        <f>ECONOMIA_PROPIETARIO!C20</f>
        <v>0</v>
      </c>
      <c r="L6" s="9">
        <f>COSTOS_OPERACION_COV!F32</f>
        <v>2.68177867170398</v>
      </c>
      <c r="M6" s="6" t="s">
        <v>479</v>
      </c>
    </row>
    <row r="7" spans="1:13" x14ac:dyDescent="0.25">
      <c r="A7" s="6" t="s">
        <v>480</v>
      </c>
      <c r="B7" s="22">
        <f>SUPUESTOS_PARAMETROS!B11</f>
        <v>987</v>
      </c>
      <c r="C7" s="22">
        <f>SUPUESTOS_PARAMETROS!B13*0.9</f>
        <v>239012.1</v>
      </c>
      <c r="D7" s="8">
        <f>SUPUESTOS_PARAMETROS!B12</f>
        <v>82475</v>
      </c>
      <c r="E7" s="18">
        <f>SUPUESTOS_PARAMETROS!B27/1.15</f>
        <v>4.7826086956521747</v>
      </c>
      <c r="F7" s="19">
        <v>1</v>
      </c>
      <c r="G7" s="9">
        <f>TARIFAS_CATEGORIA!D11</f>
        <v>3.5049999999999994</v>
      </c>
      <c r="H7" s="8">
        <f>ECONOMIA_PROPIETARIO!E8</f>
        <v>22068.057419452882</v>
      </c>
      <c r="I7" s="8">
        <f>COSTOS_OPERACION_COV!E30-COSTOS_OPERACION_COV!E6+COSTOS_OPERACION_COV!E6*1.15</f>
        <v>19984.143461481595</v>
      </c>
      <c r="J7" s="8">
        <f>ECONOMIA_PROPIETARIO!E22</f>
        <v>7477.2139578612823</v>
      </c>
      <c r="K7" s="8">
        <f>ECONOMIA_PROPIETARIO!E20</f>
        <v>2083.9139579712819</v>
      </c>
      <c r="L7" s="9">
        <f>I7/(C7*SUPUESTOS_PARAMETROS!$B$14/B7)</f>
        <v>3.1740185146858084</v>
      </c>
      <c r="M7" s="6" t="s">
        <v>481</v>
      </c>
    </row>
    <row r="8" spans="1:13" x14ac:dyDescent="0.25">
      <c r="A8" s="6" t="s">
        <v>482</v>
      </c>
      <c r="B8" s="22">
        <f>SUPUESTOS_PARAMETROS!B11</f>
        <v>987</v>
      </c>
      <c r="C8" s="22">
        <f>SUPUESTOS_PARAMETROS!B13</f>
        <v>265569</v>
      </c>
      <c r="D8" s="8">
        <f>SUPUESTOS_PARAMETROS!B12</f>
        <v>82475</v>
      </c>
      <c r="E8" s="18">
        <f>SUPUESTOS_PARAMETROS!B27</f>
        <v>5.5</v>
      </c>
      <c r="F8" s="19">
        <v>2</v>
      </c>
      <c r="G8" s="9">
        <f>TARIFAS_CATEGORIA!D11</f>
        <v>3.5049999999999994</v>
      </c>
      <c r="H8" s="8">
        <f>ECONOMIA_PROPIETARIO!B8</f>
        <v>24520.06379939209</v>
      </c>
      <c r="I8" s="8">
        <f>COSTOS_OPERACION_COV!E30+COSTOS_OPERACION_COV!E12+COSTOS_OPERACION_COV!E13</f>
        <v>22336.022575077041</v>
      </c>
      <c r="J8" s="8">
        <f>ECONOMIA_PROPIETARIO!B22-COSTOS_OPERACION_COV!E12-COSTOS_OPERACION_COV!E13</f>
        <v>7577.3412242050472</v>
      </c>
      <c r="K8" s="8">
        <f>H8-I8</f>
        <v>2184.0412243150495</v>
      </c>
      <c r="L8" s="9">
        <f>I8/SUPUESTOS_PARAMETROS!$B$19</f>
        <v>3.192804054921992</v>
      </c>
      <c r="M8" s="6" t="s">
        <v>483</v>
      </c>
    </row>
    <row r="9" spans="1:13" x14ac:dyDescent="0.25">
      <c r="A9" s="6" t="s">
        <v>484</v>
      </c>
      <c r="B9" s="22">
        <v>800</v>
      </c>
      <c r="C9" s="22">
        <v>273000</v>
      </c>
      <c r="D9" s="8">
        <v>85317</v>
      </c>
      <c r="E9" s="18">
        <v>4.8</v>
      </c>
      <c r="F9" s="19">
        <v>1</v>
      </c>
      <c r="G9" s="9">
        <f>TARIFAS_CATEGORIA!D11</f>
        <v>3.5049999999999994</v>
      </c>
      <c r="H9" s="8">
        <f>(C9*SUPUESTOS_PARAMETROS!$B$14/B9)*G9</f>
        <v>31098.112499999996</v>
      </c>
      <c r="I9" s="8">
        <f>(D9*SUPUESTOS_PARAMETROS!$B$14/B9)/5.5*SUPUESTOS_PARAMETROS!$B$29*1.15+COSTOS_OPERACION_COV!$E$7*((D9*SUPUESTOS_PARAMETROS!$B$14/B9)/SUPUESTOS_PARAMETROS!$B$17)+COSTOS_OPERACION_COV!$E$11+COSTOS_OPERACION_COV!$E$12+COSTOS_OPERACION_COV!$E$13+SUM(COSTOS_OPERACION_COV!$E$14:$E$20)+COSTOS_OPERACION_COV!$E$28</f>
        <v>21210.951830856651</v>
      </c>
      <c r="J9" s="8">
        <f>H9-I9+COSTOS_OPERACION_COV!$E$12</f>
        <v>13187.160669143344</v>
      </c>
      <c r="K9" s="8">
        <f>H9-I9</f>
        <v>9887.1606691433444</v>
      </c>
      <c r="L9" s="9">
        <f>I9/(C9*SUPUESTOS_PARAMETROS!$B$14/B9)</f>
        <v>2.3906398231452974</v>
      </c>
      <c r="M9" s="6" t="s">
        <v>485</v>
      </c>
    </row>
  </sheetData>
  <mergeCells count="2">
    <mergeCell ref="A2:M2"/>
    <mergeCell ref="A1:M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6"/>
  <sheetViews>
    <sheetView workbookViewId="0">
      <selection activeCell="D19" sqref="D19"/>
    </sheetView>
  </sheetViews>
  <sheetFormatPr baseColWidth="10" defaultColWidth="9.140625" defaultRowHeight="15" x14ac:dyDescent="0.25"/>
  <cols>
    <col min="1" max="2" width="26" customWidth="1"/>
    <col min="3" max="3" width="28.42578125" customWidth="1"/>
    <col min="4" max="4" width="40" customWidth="1"/>
    <col min="5" max="5" width="16" customWidth="1"/>
    <col min="6" max="6" width="42.7109375" customWidth="1"/>
    <col min="7" max="7" width="26" customWidth="1"/>
    <col min="8" max="8" width="16" customWidth="1"/>
  </cols>
  <sheetData>
    <row r="1" spans="1:8" ht="18.75" x14ac:dyDescent="0.25">
      <c r="A1" s="69" t="s">
        <v>486</v>
      </c>
      <c r="B1" s="67"/>
      <c r="C1" s="67"/>
      <c r="D1" s="67"/>
      <c r="E1" s="67"/>
      <c r="F1" s="67"/>
      <c r="G1" s="67"/>
      <c r="H1" s="67"/>
    </row>
    <row r="2" spans="1:8" x14ac:dyDescent="0.25">
      <c r="A2" s="74" t="s">
        <v>487</v>
      </c>
      <c r="B2" s="67"/>
      <c r="C2" s="67"/>
      <c r="D2" s="67"/>
      <c r="E2" s="67"/>
      <c r="F2" s="67"/>
      <c r="G2" s="67"/>
      <c r="H2" s="67"/>
    </row>
    <row r="4" spans="1:8" x14ac:dyDescent="0.25">
      <c r="A4" s="66" t="s">
        <v>488</v>
      </c>
      <c r="B4" s="67"/>
      <c r="C4" s="67"/>
      <c r="D4" s="67"/>
      <c r="E4" s="67"/>
      <c r="F4" s="67"/>
      <c r="G4" s="67"/>
      <c r="H4" s="67"/>
    </row>
    <row r="5" spans="1:8" x14ac:dyDescent="0.25">
      <c r="A5" s="5" t="s">
        <v>489</v>
      </c>
      <c r="B5" s="5" t="s">
        <v>490</v>
      </c>
      <c r="C5" s="5" t="s">
        <v>491</v>
      </c>
      <c r="D5" s="5" t="s">
        <v>492</v>
      </c>
      <c r="E5" s="5" t="s">
        <v>493</v>
      </c>
      <c r="F5" s="5" t="s">
        <v>494</v>
      </c>
      <c r="G5" s="5" t="s">
        <v>495</v>
      </c>
    </row>
    <row r="6" spans="1:8" x14ac:dyDescent="0.25">
      <c r="A6" s="41" t="s">
        <v>442</v>
      </c>
      <c r="B6" s="83" t="s">
        <v>496</v>
      </c>
      <c r="C6" s="83" t="s">
        <v>497</v>
      </c>
      <c r="D6" s="84" t="s">
        <v>498</v>
      </c>
      <c r="E6" s="1" t="s">
        <v>31</v>
      </c>
      <c r="F6" s="84" t="s">
        <v>499</v>
      </c>
      <c r="G6" s="84" t="s">
        <v>500</v>
      </c>
    </row>
    <row r="7" spans="1:8" x14ac:dyDescent="0.25">
      <c r="A7" s="41" t="s">
        <v>501</v>
      </c>
      <c r="B7" s="83" t="s">
        <v>502</v>
      </c>
      <c r="C7" s="83" t="s">
        <v>503</v>
      </c>
      <c r="D7" s="84" t="s">
        <v>504</v>
      </c>
      <c r="E7" s="1" t="s">
        <v>31</v>
      </c>
      <c r="F7" s="84" t="s">
        <v>505</v>
      </c>
      <c r="G7" s="84" t="s">
        <v>506</v>
      </c>
    </row>
    <row r="8" spans="1:8" x14ac:dyDescent="0.25">
      <c r="A8" s="41" t="s">
        <v>507</v>
      </c>
      <c r="B8" s="83" t="s">
        <v>508</v>
      </c>
      <c r="C8" s="83" t="s">
        <v>509</v>
      </c>
      <c r="D8" s="84" t="s">
        <v>510</v>
      </c>
      <c r="E8" s="1" t="s">
        <v>31</v>
      </c>
      <c r="F8" s="84" t="s">
        <v>511</v>
      </c>
      <c r="G8" s="84" t="s">
        <v>512</v>
      </c>
    </row>
    <row r="9" spans="1:8" x14ac:dyDescent="0.25">
      <c r="A9" s="41" t="s">
        <v>513</v>
      </c>
      <c r="B9" s="83" t="s">
        <v>514</v>
      </c>
      <c r="C9" s="83" t="s">
        <v>515</v>
      </c>
      <c r="D9" s="84" t="s">
        <v>516</v>
      </c>
      <c r="E9" s="1" t="s">
        <v>31</v>
      </c>
      <c r="F9" s="84" t="s">
        <v>517</v>
      </c>
      <c r="G9" s="84" t="s">
        <v>518</v>
      </c>
    </row>
    <row r="11" spans="1:8" x14ac:dyDescent="0.25">
      <c r="A11" s="66" t="s">
        <v>519</v>
      </c>
      <c r="B11" s="67"/>
      <c r="C11" s="67"/>
      <c r="D11" s="67"/>
      <c r="E11" s="67"/>
      <c r="F11" s="67"/>
      <c r="G11" s="67"/>
      <c r="H11" s="67"/>
    </row>
    <row r="12" spans="1:8" x14ac:dyDescent="0.25">
      <c r="A12" s="5" t="s">
        <v>520</v>
      </c>
      <c r="B12" s="5" t="s">
        <v>521</v>
      </c>
      <c r="C12" s="5" t="s">
        <v>522</v>
      </c>
      <c r="D12" s="5" t="s">
        <v>523</v>
      </c>
      <c r="E12" s="5" t="s">
        <v>493</v>
      </c>
      <c r="F12" s="5" t="s">
        <v>524</v>
      </c>
      <c r="G12" s="5" t="s">
        <v>525</v>
      </c>
    </row>
    <row r="13" spans="1:8" x14ac:dyDescent="0.25">
      <c r="A13" s="41" t="s">
        <v>526</v>
      </c>
      <c r="B13" s="85" t="s">
        <v>527</v>
      </c>
      <c r="C13" s="85" t="s">
        <v>528</v>
      </c>
      <c r="D13" s="86" t="s">
        <v>529</v>
      </c>
      <c r="E13" s="63" t="s">
        <v>530</v>
      </c>
      <c r="F13" s="84" t="s">
        <v>531</v>
      </c>
      <c r="G13" s="84" t="s">
        <v>532</v>
      </c>
    </row>
    <row r="14" spans="1:8" x14ac:dyDescent="0.25">
      <c r="A14" s="41" t="s">
        <v>533</v>
      </c>
      <c r="B14" s="85" t="s">
        <v>534</v>
      </c>
      <c r="C14" s="85" t="s">
        <v>535</v>
      </c>
      <c r="D14" s="86" t="s">
        <v>536</v>
      </c>
      <c r="E14" s="63" t="s">
        <v>530</v>
      </c>
      <c r="F14" s="84" t="s">
        <v>537</v>
      </c>
      <c r="G14" s="84" t="s">
        <v>532</v>
      </c>
    </row>
    <row r="15" spans="1:8" x14ac:dyDescent="0.25">
      <c r="A15" s="41" t="s">
        <v>538</v>
      </c>
      <c r="B15" s="85" t="s">
        <v>539</v>
      </c>
      <c r="C15" s="85" t="s">
        <v>540</v>
      </c>
      <c r="D15" s="86" t="s">
        <v>541</v>
      </c>
      <c r="E15" s="63" t="s">
        <v>530</v>
      </c>
      <c r="F15" s="84" t="s">
        <v>542</v>
      </c>
      <c r="G15" s="84" t="s">
        <v>543</v>
      </c>
    </row>
    <row r="16" spans="1:8" x14ac:dyDescent="0.25">
      <c r="A16" s="41" t="s">
        <v>544</v>
      </c>
      <c r="B16" s="85" t="s">
        <v>545</v>
      </c>
      <c r="C16" s="85" t="s">
        <v>546</v>
      </c>
      <c r="D16" s="86" t="s">
        <v>547</v>
      </c>
      <c r="E16" s="63" t="s">
        <v>530</v>
      </c>
      <c r="F16" s="84" t="s">
        <v>548</v>
      </c>
      <c r="G16" s="84" t="s">
        <v>549</v>
      </c>
    </row>
  </sheetData>
  <mergeCells count="4">
    <mergeCell ref="A4:H4"/>
    <mergeCell ref="A11:H11"/>
    <mergeCell ref="A2:H2"/>
    <mergeCell ref="A1:H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70"/>
  <sheetViews>
    <sheetView workbookViewId="0">
      <selection sqref="A1:G1"/>
    </sheetView>
  </sheetViews>
  <sheetFormatPr baseColWidth="10" defaultColWidth="9.140625" defaultRowHeight="15" x14ac:dyDescent="0.25"/>
  <cols>
    <col min="1" max="3" width="24" customWidth="1"/>
    <col min="4" max="7" width="16" customWidth="1"/>
  </cols>
  <sheetData>
    <row r="1" spans="1:7" ht="18.75" x14ac:dyDescent="0.25">
      <c r="A1" s="69" t="s">
        <v>550</v>
      </c>
      <c r="B1" s="67"/>
      <c r="C1" s="67"/>
      <c r="D1" s="67"/>
      <c r="E1" s="67"/>
      <c r="F1" s="67"/>
      <c r="G1" s="67"/>
    </row>
    <row r="2" spans="1:7" x14ac:dyDescent="0.25">
      <c r="A2" s="74" t="s">
        <v>551</v>
      </c>
      <c r="B2" s="67"/>
      <c r="C2" s="67"/>
      <c r="D2" s="67"/>
      <c r="E2" s="67"/>
      <c r="F2" s="67"/>
      <c r="G2" s="67"/>
    </row>
    <row r="4" spans="1:7" x14ac:dyDescent="0.25">
      <c r="A4" s="66" t="s">
        <v>552</v>
      </c>
      <c r="B4" s="67"/>
      <c r="C4" s="67"/>
      <c r="D4" s="67"/>
      <c r="E4" s="67"/>
      <c r="F4" s="67"/>
      <c r="G4" s="67"/>
    </row>
    <row r="5" spans="1:7" x14ac:dyDescent="0.25">
      <c r="A5" s="79" t="s">
        <v>553</v>
      </c>
      <c r="B5" s="65"/>
      <c r="C5" s="65"/>
      <c r="D5" s="65"/>
      <c r="E5" s="65"/>
      <c r="F5" s="65"/>
      <c r="G5" s="65"/>
    </row>
    <row r="6" spans="1:7" x14ac:dyDescent="0.25">
      <c r="A6" s="65"/>
      <c r="B6" s="65"/>
      <c r="C6" s="65"/>
      <c r="D6" s="65"/>
      <c r="E6" s="65"/>
      <c r="F6" s="65"/>
      <c r="G6" s="65"/>
    </row>
    <row r="7" spans="1:7" x14ac:dyDescent="0.25">
      <c r="A7" s="65"/>
      <c r="B7" s="65"/>
      <c r="C7" s="65"/>
      <c r="D7" s="65"/>
      <c r="E7" s="65"/>
      <c r="F7" s="65"/>
      <c r="G7" s="65"/>
    </row>
    <row r="8" spans="1:7" x14ac:dyDescent="0.25">
      <c r="A8" s="65"/>
      <c r="B8" s="65"/>
      <c r="C8" s="65"/>
      <c r="D8" s="65"/>
      <c r="E8" s="65"/>
      <c r="F8" s="65"/>
      <c r="G8" s="65"/>
    </row>
    <row r="9" spans="1:7" x14ac:dyDescent="0.25">
      <c r="A9" s="65"/>
      <c r="B9" s="65"/>
      <c r="C9" s="65"/>
      <c r="D9" s="65"/>
      <c r="E9" s="65"/>
      <c r="F9" s="65"/>
      <c r="G9" s="65"/>
    </row>
    <row r="10" spans="1:7" x14ac:dyDescent="0.25">
      <c r="A10" s="65"/>
      <c r="B10" s="65"/>
      <c r="C10" s="65"/>
      <c r="D10" s="65"/>
      <c r="E10" s="65"/>
      <c r="F10" s="65"/>
      <c r="G10" s="65"/>
    </row>
    <row r="11" spans="1:7" x14ac:dyDescent="0.25">
      <c r="A11" s="65"/>
      <c r="B11" s="65"/>
      <c r="C11" s="65"/>
      <c r="D11" s="65"/>
      <c r="E11" s="65"/>
      <c r="F11" s="65"/>
      <c r="G11" s="65"/>
    </row>
    <row r="12" spans="1:7" x14ac:dyDescent="0.25">
      <c r="A12" s="65"/>
      <c r="B12" s="65"/>
      <c r="C12" s="65"/>
      <c r="D12" s="65"/>
      <c r="E12" s="65"/>
      <c r="F12" s="65"/>
      <c r="G12" s="65"/>
    </row>
    <row r="13" spans="1:7" x14ac:dyDescent="0.25">
      <c r="A13" s="65"/>
      <c r="B13" s="65"/>
      <c r="C13" s="65"/>
      <c r="D13" s="65"/>
      <c r="E13" s="65"/>
      <c r="F13" s="65"/>
      <c r="G13" s="65"/>
    </row>
    <row r="14" spans="1:7" x14ac:dyDescent="0.25">
      <c r="A14" s="65"/>
      <c r="B14" s="65"/>
      <c r="C14" s="65"/>
      <c r="D14" s="65"/>
      <c r="E14" s="65"/>
      <c r="F14" s="65"/>
      <c r="G14" s="65"/>
    </row>
    <row r="15" spans="1:7" x14ac:dyDescent="0.25">
      <c r="A15" s="65"/>
      <c r="B15" s="65"/>
      <c r="C15" s="65"/>
      <c r="D15" s="65"/>
      <c r="E15" s="65"/>
      <c r="F15" s="65"/>
      <c r="G15" s="65"/>
    </row>
    <row r="16" spans="1:7" x14ac:dyDescent="0.25">
      <c r="A16" s="65"/>
      <c r="B16" s="65"/>
      <c r="C16" s="65"/>
      <c r="D16" s="65"/>
      <c r="E16" s="65"/>
      <c r="F16" s="65"/>
      <c r="G16" s="65"/>
    </row>
    <row r="17" spans="1:7" x14ac:dyDescent="0.25">
      <c r="A17" s="65"/>
      <c r="B17" s="65"/>
      <c r="C17" s="65"/>
      <c r="D17" s="65"/>
      <c r="E17" s="65"/>
      <c r="F17" s="65"/>
      <c r="G17" s="65"/>
    </row>
    <row r="19" spans="1:7" x14ac:dyDescent="0.25">
      <c r="A19" s="66" t="s">
        <v>554</v>
      </c>
      <c r="B19" s="67"/>
      <c r="C19" s="67"/>
      <c r="D19" s="67"/>
      <c r="E19" s="67"/>
      <c r="F19" s="67"/>
      <c r="G19" s="67"/>
    </row>
    <row r="20" spans="1:7" x14ac:dyDescent="0.25">
      <c r="A20" s="79" t="s">
        <v>555</v>
      </c>
      <c r="B20" s="65"/>
      <c r="C20" s="65"/>
      <c r="D20" s="65"/>
      <c r="E20" s="65"/>
      <c r="F20" s="65"/>
      <c r="G20" s="65"/>
    </row>
    <row r="21" spans="1:7" x14ac:dyDescent="0.25">
      <c r="A21" s="65"/>
      <c r="B21" s="65"/>
      <c r="C21" s="65"/>
      <c r="D21" s="65"/>
      <c r="E21" s="65"/>
      <c r="F21" s="65"/>
      <c r="G21" s="65"/>
    </row>
    <row r="22" spans="1:7" x14ac:dyDescent="0.25">
      <c r="A22" s="65"/>
      <c r="B22" s="65"/>
      <c r="C22" s="65"/>
      <c r="D22" s="65"/>
      <c r="E22" s="65"/>
      <c r="F22" s="65"/>
      <c r="G22" s="65"/>
    </row>
    <row r="23" spans="1:7" x14ac:dyDescent="0.25">
      <c r="A23" s="65"/>
      <c r="B23" s="65"/>
      <c r="C23" s="65"/>
      <c r="D23" s="65"/>
      <c r="E23" s="65"/>
      <c r="F23" s="65"/>
      <c r="G23" s="65"/>
    </row>
    <row r="24" spans="1:7" x14ac:dyDescent="0.25">
      <c r="A24" s="65"/>
      <c r="B24" s="65"/>
      <c r="C24" s="65"/>
      <c r="D24" s="65"/>
      <c r="E24" s="65"/>
      <c r="F24" s="65"/>
      <c r="G24" s="65"/>
    </row>
    <row r="25" spans="1:7" x14ac:dyDescent="0.25">
      <c r="A25" s="65"/>
      <c r="B25" s="65"/>
      <c r="C25" s="65"/>
      <c r="D25" s="65"/>
      <c r="E25" s="65"/>
      <c r="F25" s="65"/>
      <c r="G25" s="65"/>
    </row>
    <row r="26" spans="1:7" x14ac:dyDescent="0.25">
      <c r="A26" s="65"/>
      <c r="B26" s="65"/>
      <c r="C26" s="65"/>
      <c r="D26" s="65"/>
      <c r="E26" s="65"/>
      <c r="F26" s="65"/>
      <c r="G26" s="65"/>
    </row>
    <row r="27" spans="1:7" x14ac:dyDescent="0.25">
      <c r="A27" s="65"/>
      <c r="B27" s="65"/>
      <c r="C27" s="65"/>
      <c r="D27" s="65"/>
      <c r="E27" s="65"/>
      <c r="F27" s="65"/>
      <c r="G27" s="65"/>
    </row>
    <row r="28" spans="1:7" x14ac:dyDescent="0.25">
      <c r="A28" s="65"/>
      <c r="B28" s="65"/>
      <c r="C28" s="65"/>
      <c r="D28" s="65"/>
      <c r="E28" s="65"/>
      <c r="F28" s="65"/>
      <c r="G28" s="65"/>
    </row>
    <row r="29" spans="1:7" x14ac:dyDescent="0.25">
      <c r="A29" s="65"/>
      <c r="B29" s="65"/>
      <c r="C29" s="65"/>
      <c r="D29" s="65"/>
      <c r="E29" s="65"/>
      <c r="F29" s="65"/>
      <c r="G29" s="65"/>
    </row>
    <row r="30" spans="1:7" x14ac:dyDescent="0.25">
      <c r="A30" s="65"/>
      <c r="B30" s="65"/>
      <c r="C30" s="65"/>
      <c r="D30" s="65"/>
      <c r="E30" s="65"/>
      <c r="F30" s="65"/>
      <c r="G30" s="65"/>
    </row>
    <row r="31" spans="1:7" x14ac:dyDescent="0.25">
      <c r="A31" s="65"/>
      <c r="B31" s="65"/>
      <c r="C31" s="65"/>
      <c r="D31" s="65"/>
      <c r="E31" s="65"/>
      <c r="F31" s="65"/>
      <c r="G31" s="65"/>
    </row>
    <row r="32" spans="1:7" x14ac:dyDescent="0.25">
      <c r="A32" s="65"/>
      <c r="B32" s="65"/>
      <c r="C32" s="65"/>
      <c r="D32" s="65"/>
      <c r="E32" s="65"/>
      <c r="F32" s="65"/>
      <c r="G32" s="65"/>
    </row>
    <row r="33" spans="1:7" x14ac:dyDescent="0.25">
      <c r="A33" s="65"/>
      <c r="B33" s="65"/>
      <c r="C33" s="65"/>
      <c r="D33" s="65"/>
      <c r="E33" s="65"/>
      <c r="F33" s="65"/>
      <c r="G33" s="65"/>
    </row>
    <row r="35" spans="1:7" x14ac:dyDescent="0.25">
      <c r="A35" s="66" t="s">
        <v>556</v>
      </c>
      <c r="B35" s="67"/>
      <c r="C35" s="67"/>
      <c r="D35" s="67"/>
      <c r="E35" s="67"/>
      <c r="F35" s="67"/>
      <c r="G35" s="67"/>
    </row>
    <row r="36" spans="1:7" x14ac:dyDescent="0.25">
      <c r="A36" s="79" t="s">
        <v>557</v>
      </c>
      <c r="B36" s="65"/>
      <c r="C36" s="65"/>
      <c r="D36" s="65"/>
      <c r="E36" s="65"/>
      <c r="F36" s="65"/>
      <c r="G36" s="65"/>
    </row>
    <row r="37" spans="1:7" x14ac:dyDescent="0.25">
      <c r="A37" s="65"/>
      <c r="B37" s="65"/>
      <c r="C37" s="65"/>
      <c r="D37" s="65"/>
      <c r="E37" s="65"/>
      <c r="F37" s="65"/>
      <c r="G37" s="65"/>
    </row>
    <row r="38" spans="1:7" x14ac:dyDescent="0.25">
      <c r="A38" s="65"/>
      <c r="B38" s="65"/>
      <c r="C38" s="65"/>
      <c r="D38" s="65"/>
      <c r="E38" s="65"/>
      <c r="F38" s="65"/>
      <c r="G38" s="65"/>
    </row>
    <row r="39" spans="1:7" x14ac:dyDescent="0.25">
      <c r="A39" s="65"/>
      <c r="B39" s="65"/>
      <c r="C39" s="65"/>
      <c r="D39" s="65"/>
      <c r="E39" s="65"/>
      <c r="F39" s="65"/>
      <c r="G39" s="65"/>
    </row>
    <row r="40" spans="1:7" x14ac:dyDescent="0.25">
      <c r="A40" s="65"/>
      <c r="B40" s="65"/>
      <c r="C40" s="65"/>
      <c r="D40" s="65"/>
      <c r="E40" s="65"/>
      <c r="F40" s="65"/>
      <c r="G40" s="65"/>
    </row>
    <row r="41" spans="1:7" x14ac:dyDescent="0.25">
      <c r="A41" s="65"/>
      <c r="B41" s="65"/>
      <c r="C41" s="65"/>
      <c r="D41" s="65"/>
      <c r="E41" s="65"/>
      <c r="F41" s="65"/>
      <c r="G41" s="65"/>
    </row>
    <row r="42" spans="1:7" x14ac:dyDescent="0.25">
      <c r="A42" s="65"/>
      <c r="B42" s="65"/>
      <c r="C42" s="65"/>
      <c r="D42" s="65"/>
      <c r="E42" s="65"/>
      <c r="F42" s="65"/>
      <c r="G42" s="65"/>
    </row>
    <row r="43" spans="1:7" x14ac:dyDescent="0.25">
      <c r="A43" s="65"/>
      <c r="B43" s="65"/>
      <c r="C43" s="65"/>
      <c r="D43" s="65"/>
      <c r="E43" s="65"/>
      <c r="F43" s="65"/>
      <c r="G43" s="65"/>
    </row>
    <row r="44" spans="1:7" x14ac:dyDescent="0.25">
      <c r="A44" s="65"/>
      <c r="B44" s="65"/>
      <c r="C44" s="65"/>
      <c r="D44" s="65"/>
      <c r="E44" s="65"/>
      <c r="F44" s="65"/>
      <c r="G44" s="65"/>
    </row>
    <row r="45" spans="1:7" x14ac:dyDescent="0.25">
      <c r="A45" s="65"/>
      <c r="B45" s="65"/>
      <c r="C45" s="65"/>
      <c r="D45" s="65"/>
      <c r="E45" s="65"/>
      <c r="F45" s="65"/>
      <c r="G45" s="65"/>
    </row>
    <row r="47" spans="1:7" x14ac:dyDescent="0.25">
      <c r="A47" s="66" t="s">
        <v>558</v>
      </c>
      <c r="B47" s="67"/>
      <c r="C47" s="67"/>
      <c r="D47" s="67"/>
      <c r="E47" s="67"/>
      <c r="F47" s="67"/>
      <c r="G47" s="67"/>
    </row>
    <row r="48" spans="1:7" x14ac:dyDescent="0.25">
      <c r="A48" s="79" t="s">
        <v>559</v>
      </c>
      <c r="B48" s="65"/>
      <c r="C48" s="65"/>
      <c r="D48" s="65"/>
      <c r="E48" s="65"/>
      <c r="F48" s="65"/>
      <c r="G48" s="65"/>
    </row>
    <row r="49" spans="1:7" x14ac:dyDescent="0.25">
      <c r="A49" s="65"/>
      <c r="B49" s="65"/>
      <c r="C49" s="65"/>
      <c r="D49" s="65"/>
      <c r="E49" s="65"/>
      <c r="F49" s="65"/>
      <c r="G49" s="65"/>
    </row>
    <row r="50" spans="1:7" x14ac:dyDescent="0.25">
      <c r="A50" s="65"/>
      <c r="B50" s="65"/>
      <c r="C50" s="65"/>
      <c r="D50" s="65"/>
      <c r="E50" s="65"/>
      <c r="F50" s="65"/>
      <c r="G50" s="65"/>
    </row>
    <row r="51" spans="1:7" x14ac:dyDescent="0.25">
      <c r="A51" s="65"/>
      <c r="B51" s="65"/>
      <c r="C51" s="65"/>
      <c r="D51" s="65"/>
      <c r="E51" s="65"/>
      <c r="F51" s="65"/>
      <c r="G51" s="65"/>
    </row>
    <row r="52" spans="1:7" x14ac:dyDescent="0.25">
      <c r="A52" s="65"/>
      <c r="B52" s="65"/>
      <c r="C52" s="65"/>
      <c r="D52" s="65"/>
      <c r="E52" s="65"/>
      <c r="F52" s="65"/>
      <c r="G52" s="65"/>
    </row>
    <row r="53" spans="1:7" x14ac:dyDescent="0.25">
      <c r="A53" s="65"/>
      <c r="B53" s="65"/>
      <c r="C53" s="65"/>
      <c r="D53" s="65"/>
      <c r="E53" s="65"/>
      <c r="F53" s="65"/>
      <c r="G53" s="65"/>
    </row>
    <row r="54" spans="1:7" x14ac:dyDescent="0.25">
      <c r="A54" s="65"/>
      <c r="B54" s="65"/>
      <c r="C54" s="65"/>
      <c r="D54" s="65"/>
      <c r="E54" s="65"/>
      <c r="F54" s="65"/>
      <c r="G54" s="65"/>
    </row>
    <row r="55" spans="1:7" x14ac:dyDescent="0.25">
      <c r="A55" s="65"/>
      <c r="B55" s="65"/>
      <c r="C55" s="65"/>
      <c r="D55" s="65"/>
      <c r="E55" s="65"/>
      <c r="F55" s="65"/>
      <c r="G55" s="65"/>
    </row>
    <row r="56" spans="1:7" x14ac:dyDescent="0.25">
      <c r="A56" s="65"/>
      <c r="B56" s="65"/>
      <c r="C56" s="65"/>
      <c r="D56" s="65"/>
      <c r="E56" s="65"/>
      <c r="F56" s="65"/>
      <c r="G56" s="65"/>
    </row>
    <row r="57" spans="1:7" x14ac:dyDescent="0.25">
      <c r="A57" s="65"/>
      <c r="B57" s="65"/>
      <c r="C57" s="65"/>
      <c r="D57" s="65"/>
      <c r="E57" s="65"/>
      <c r="F57" s="65"/>
      <c r="G57" s="65"/>
    </row>
    <row r="58" spans="1:7" x14ac:dyDescent="0.25">
      <c r="A58" s="65"/>
      <c r="B58" s="65"/>
      <c r="C58" s="65"/>
      <c r="D58" s="65"/>
      <c r="E58" s="65"/>
      <c r="F58" s="65"/>
      <c r="G58" s="65"/>
    </row>
    <row r="60" spans="1:7" x14ac:dyDescent="0.25">
      <c r="A60" s="66" t="s">
        <v>560</v>
      </c>
      <c r="B60" s="67"/>
      <c r="C60" s="67"/>
      <c r="D60" s="67"/>
      <c r="E60" s="67"/>
      <c r="F60" s="67"/>
      <c r="G60" s="67"/>
    </row>
    <row r="61" spans="1:7" x14ac:dyDescent="0.25">
      <c r="A61" s="79" t="s">
        <v>561</v>
      </c>
      <c r="B61" s="65"/>
      <c r="C61" s="65"/>
      <c r="D61" s="65"/>
      <c r="E61" s="65"/>
      <c r="F61" s="65"/>
      <c r="G61" s="65"/>
    </row>
    <row r="62" spans="1:7" x14ac:dyDescent="0.25">
      <c r="A62" s="65"/>
      <c r="B62" s="65"/>
      <c r="C62" s="65"/>
      <c r="D62" s="65"/>
      <c r="E62" s="65"/>
      <c r="F62" s="65"/>
      <c r="G62" s="65"/>
    </row>
    <row r="63" spans="1:7" x14ac:dyDescent="0.25">
      <c r="A63" s="65"/>
      <c r="B63" s="65"/>
      <c r="C63" s="65"/>
      <c r="D63" s="65"/>
      <c r="E63" s="65"/>
      <c r="F63" s="65"/>
      <c r="G63" s="65"/>
    </row>
    <row r="64" spans="1:7" x14ac:dyDescent="0.25">
      <c r="A64" s="65"/>
      <c r="B64" s="65"/>
      <c r="C64" s="65"/>
      <c r="D64" s="65"/>
      <c r="E64" s="65"/>
      <c r="F64" s="65"/>
      <c r="G64" s="65"/>
    </row>
    <row r="65" spans="1:7" x14ac:dyDescent="0.25">
      <c r="A65" s="65"/>
      <c r="B65" s="65"/>
      <c r="C65" s="65"/>
      <c r="D65" s="65"/>
      <c r="E65" s="65"/>
      <c r="F65" s="65"/>
      <c r="G65" s="65"/>
    </row>
    <row r="66" spans="1:7" x14ac:dyDescent="0.25">
      <c r="A66" s="65"/>
      <c r="B66" s="65"/>
      <c r="C66" s="65"/>
      <c r="D66" s="65"/>
      <c r="E66" s="65"/>
      <c r="F66" s="65"/>
      <c r="G66" s="65"/>
    </row>
    <row r="67" spans="1:7" x14ac:dyDescent="0.25">
      <c r="A67" s="65"/>
      <c r="B67" s="65"/>
      <c r="C67" s="65"/>
      <c r="D67" s="65"/>
      <c r="E67" s="65"/>
      <c r="F67" s="65"/>
      <c r="G67" s="65"/>
    </row>
    <row r="68" spans="1:7" x14ac:dyDescent="0.25">
      <c r="A68" s="65"/>
      <c r="B68" s="65"/>
      <c r="C68" s="65"/>
      <c r="D68" s="65"/>
      <c r="E68" s="65"/>
      <c r="F68" s="65"/>
      <c r="G68" s="65"/>
    </row>
    <row r="69" spans="1:7" x14ac:dyDescent="0.25">
      <c r="A69" s="65"/>
      <c r="B69" s="65"/>
      <c r="C69" s="65"/>
      <c r="D69" s="65"/>
      <c r="E69" s="65"/>
      <c r="F69" s="65"/>
      <c r="G69" s="65"/>
    </row>
    <row r="70" spans="1:7" x14ac:dyDescent="0.25">
      <c r="A70" s="65"/>
      <c r="B70" s="65"/>
      <c r="C70" s="65"/>
      <c r="D70" s="65"/>
      <c r="E70" s="65"/>
      <c r="F70" s="65"/>
      <c r="G70" s="65"/>
    </row>
  </sheetData>
  <mergeCells count="12">
    <mergeCell ref="A5:G17"/>
    <mergeCell ref="A1:G1"/>
    <mergeCell ref="A61:G70"/>
    <mergeCell ref="A35:G35"/>
    <mergeCell ref="A4:G4"/>
    <mergeCell ref="A2:G2"/>
    <mergeCell ref="A20:G33"/>
    <mergeCell ref="A60:G60"/>
    <mergeCell ref="A19:G19"/>
    <mergeCell ref="A36:G45"/>
    <mergeCell ref="A47:G47"/>
    <mergeCell ref="A48:G5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RESUMEN_EJECUTIVO</vt:lpstr>
      <vt:lpstr>MANTENIMIENTO_NISSAN</vt:lpstr>
      <vt:lpstr>SUPUESTOS_PARAMETROS</vt:lpstr>
      <vt:lpstr>COSTOS_OPERACION_COV</vt:lpstr>
      <vt:lpstr>TARIFAS_CATEGORIA</vt:lpstr>
      <vt:lpstr>ECONOMIA_PROPIETARIO</vt:lpstr>
      <vt:lpstr>RENTABILIDAD_32_RUTAS</vt:lpstr>
      <vt:lpstr>REGLA_ACTUALIZACION</vt:lpstr>
      <vt:lpstr>ESCENARIOS_NEGOCIACION</vt:lpstr>
      <vt:lpstr>FUENTES_AUDITORIA_CONTROL</vt:lpstr>
      <vt:lpstr>METODOLOGIA_GLOSARIO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Moisés Rolando Gutiérrez Aliendre</cp:lastModifiedBy>
  <dcterms:created xsi:type="dcterms:W3CDTF">2026-09-28T23:00:11Z</dcterms:created>
  <dcterms:modified xsi:type="dcterms:W3CDTF">2026-09-29T00:08:52Z</dcterms:modified>
</cp:coreProperties>
</file>